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4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sper\Downloads\"/>
    </mc:Choice>
  </mc:AlternateContent>
  <xr:revisionPtr revIDLastSave="0" documentId="8_{D4C58AB3-56FA-41F5-99E9-1B7216BB100F}" xr6:coauthVersionLast="47" xr6:coauthVersionMax="47" xr10:uidLastSave="{00000000-0000-0000-0000-000000000000}"/>
  <bookViews>
    <workbookView xWindow="-20610" yWindow="915" windowWidth="20730" windowHeight="11160" firstSheet="1" activeTab="1" xr2:uid="{00000000-000D-0000-FFFF-FFFF00000000}"/>
  </bookViews>
  <sheets>
    <sheet name="Dashboard" sheetId="1" r:id="rId1"/>
    <sheet name="Enrollment_Dashboard" sheetId="2" r:id="rId2"/>
    <sheet name="Student_Masterlist" sheetId="3" r:id="rId3"/>
    <sheet name="Student_Data_Instructions" sheetId="4" r:id="rId4"/>
    <sheet name="Student_Import_Log" sheetId="5" r:id="rId5"/>
    <sheet name="Class_Sections" sheetId="6" r:id="rId6"/>
    <sheet name="Teacher_View_Dashboard" sheetId="7" r:id="rId7"/>
    <sheet name="Learner_Scores" sheetId="8" r:id="rId8"/>
    <sheet name="Assessment_Submissions" sheetId="9" r:id="rId9"/>
    <sheet name="View_Only_Sharing_Guide" sheetId="11" r:id="rId10"/>
    <sheet name="Access_Control" sheetId="10" r:id="rId11"/>
    <sheet name="Teacher_Template_Guide" sheetId="12" r:id="rId12"/>
    <sheet name="Power_Automate_Flow" sheetId="13" r:id="rId13"/>
    <sheet name="Form_Mapping_Guide" sheetId="14" r:id="rId14"/>
    <sheet name="File_Link_Test" sheetId="15" r:id="rId15"/>
    <sheet name="SBFP_Dashboard" sheetId="16" r:id="rId16"/>
    <sheet name="SBFP_Beneficiaries" sheetId="17" r:id="rId17"/>
    <sheet name="SBFP_Feeding_Log" sheetId="18" r:id="rId18"/>
    <sheet name="School_Inventory" sheetId="19" r:id="rId19"/>
    <sheet name="Teacher_Submissions" sheetId="20" r:id="rId20"/>
    <sheet name="Students" sheetId="21" r:id="rId21"/>
    <sheet name="Scores" sheetId="22" r:id="rId22"/>
    <sheet name="LIS_Sync_Log" sheetId="23" r:id="rId23"/>
    <sheet name="Settings" sheetId="24" r:id="rId24"/>
    <sheet name="Reports" sheetId="25" r:id="rId2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22" l="1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" i="22"/>
  <c r="L7" i="20"/>
  <c r="K7" i="20"/>
  <c r="L6" i="20"/>
  <c r="K6" i="20"/>
  <c r="L5" i="20"/>
  <c r="K5" i="20"/>
  <c r="L4" i="20"/>
  <c r="K4" i="20"/>
  <c r="L3" i="20"/>
  <c r="K3" i="20"/>
  <c r="L2" i="20"/>
  <c r="K2" i="20"/>
  <c r="P104" i="19"/>
  <c r="J104" i="19"/>
  <c r="H104" i="19"/>
  <c r="P103" i="19"/>
  <c r="J103" i="19"/>
  <c r="H103" i="19"/>
  <c r="P102" i="19"/>
  <c r="J102" i="19"/>
  <c r="H102" i="19"/>
  <c r="P101" i="19"/>
  <c r="J101" i="19"/>
  <c r="H101" i="19"/>
  <c r="P100" i="19"/>
  <c r="J100" i="19"/>
  <c r="H100" i="19"/>
  <c r="P99" i="19"/>
  <c r="J99" i="19"/>
  <c r="H99" i="19"/>
  <c r="P98" i="19"/>
  <c r="J98" i="19"/>
  <c r="H98" i="19"/>
  <c r="P97" i="19"/>
  <c r="J97" i="19"/>
  <c r="H97" i="19"/>
  <c r="P96" i="19"/>
  <c r="J96" i="19"/>
  <c r="H96" i="19"/>
  <c r="P95" i="19"/>
  <c r="J95" i="19"/>
  <c r="H95" i="19"/>
  <c r="P94" i="19"/>
  <c r="J94" i="19"/>
  <c r="H94" i="19"/>
  <c r="P93" i="19"/>
  <c r="J93" i="19"/>
  <c r="H93" i="19"/>
  <c r="P92" i="19"/>
  <c r="J92" i="19"/>
  <c r="H92" i="19"/>
  <c r="P91" i="19"/>
  <c r="J91" i="19"/>
  <c r="H91" i="19"/>
  <c r="P90" i="19"/>
  <c r="J90" i="19"/>
  <c r="H90" i="19"/>
  <c r="P89" i="19"/>
  <c r="J89" i="19"/>
  <c r="H89" i="19"/>
  <c r="P88" i="19"/>
  <c r="J88" i="19"/>
  <c r="H88" i="19"/>
  <c r="P87" i="19"/>
  <c r="J87" i="19"/>
  <c r="H87" i="19"/>
  <c r="P86" i="19"/>
  <c r="J86" i="19"/>
  <c r="H86" i="19"/>
  <c r="P85" i="19"/>
  <c r="J85" i="19"/>
  <c r="H85" i="19"/>
  <c r="P84" i="19"/>
  <c r="J84" i="19"/>
  <c r="H84" i="19"/>
  <c r="P83" i="19"/>
  <c r="J83" i="19"/>
  <c r="H83" i="19"/>
  <c r="P82" i="19"/>
  <c r="J82" i="19"/>
  <c r="H82" i="19"/>
  <c r="P81" i="19"/>
  <c r="J81" i="19"/>
  <c r="H81" i="19"/>
  <c r="P80" i="19"/>
  <c r="J80" i="19"/>
  <c r="H80" i="19"/>
  <c r="P79" i="19"/>
  <c r="J79" i="19"/>
  <c r="H79" i="19"/>
  <c r="P78" i="19"/>
  <c r="J78" i="19"/>
  <c r="H78" i="19"/>
  <c r="P77" i="19"/>
  <c r="J77" i="19"/>
  <c r="H77" i="19"/>
  <c r="P76" i="19"/>
  <c r="J76" i="19"/>
  <c r="H76" i="19"/>
  <c r="P75" i="19"/>
  <c r="J75" i="19"/>
  <c r="H75" i="19"/>
  <c r="P74" i="19"/>
  <c r="J74" i="19"/>
  <c r="H74" i="19"/>
  <c r="P73" i="19"/>
  <c r="J73" i="19"/>
  <c r="H73" i="19"/>
  <c r="P72" i="19"/>
  <c r="J72" i="19"/>
  <c r="H72" i="19"/>
  <c r="P71" i="19"/>
  <c r="J71" i="19"/>
  <c r="H71" i="19"/>
  <c r="P70" i="19"/>
  <c r="J70" i="19"/>
  <c r="H70" i="19"/>
  <c r="P69" i="19"/>
  <c r="J69" i="19"/>
  <c r="H69" i="19"/>
  <c r="P68" i="19"/>
  <c r="J68" i="19"/>
  <c r="H68" i="19"/>
  <c r="P67" i="19"/>
  <c r="J67" i="19"/>
  <c r="H67" i="19"/>
  <c r="P66" i="19"/>
  <c r="J66" i="19"/>
  <c r="H66" i="19"/>
  <c r="P65" i="19"/>
  <c r="J65" i="19"/>
  <c r="H65" i="19"/>
  <c r="P64" i="19"/>
  <c r="J64" i="19"/>
  <c r="H64" i="19"/>
  <c r="P63" i="19"/>
  <c r="J63" i="19"/>
  <c r="H63" i="19"/>
  <c r="P62" i="19"/>
  <c r="J62" i="19"/>
  <c r="H62" i="19"/>
  <c r="P61" i="19"/>
  <c r="J61" i="19"/>
  <c r="H61" i="19"/>
  <c r="P60" i="19"/>
  <c r="J60" i="19"/>
  <c r="H60" i="19"/>
  <c r="P59" i="19"/>
  <c r="J59" i="19"/>
  <c r="H59" i="19"/>
  <c r="P58" i="19"/>
  <c r="J58" i="19"/>
  <c r="H58" i="19"/>
  <c r="P57" i="19"/>
  <c r="J57" i="19"/>
  <c r="H57" i="19"/>
  <c r="P56" i="19"/>
  <c r="J56" i="19"/>
  <c r="H56" i="19"/>
  <c r="P55" i="19"/>
  <c r="J55" i="19"/>
  <c r="H55" i="19"/>
  <c r="P54" i="19"/>
  <c r="J54" i="19"/>
  <c r="H54" i="19"/>
  <c r="P53" i="19"/>
  <c r="J53" i="19"/>
  <c r="H53" i="19"/>
  <c r="P52" i="19"/>
  <c r="J52" i="19"/>
  <c r="H52" i="19"/>
  <c r="P51" i="19"/>
  <c r="J51" i="19"/>
  <c r="H51" i="19"/>
  <c r="P50" i="19"/>
  <c r="J50" i="19"/>
  <c r="H50" i="19"/>
  <c r="P49" i="19"/>
  <c r="J49" i="19"/>
  <c r="H49" i="19"/>
  <c r="P48" i="19"/>
  <c r="J48" i="19"/>
  <c r="H48" i="19"/>
  <c r="P47" i="19"/>
  <c r="J47" i="19"/>
  <c r="H47" i="19"/>
  <c r="P46" i="19"/>
  <c r="J46" i="19"/>
  <c r="H46" i="19"/>
  <c r="P45" i="19"/>
  <c r="J45" i="19"/>
  <c r="H45" i="19"/>
  <c r="P44" i="19"/>
  <c r="J44" i="19"/>
  <c r="H44" i="19"/>
  <c r="P43" i="19"/>
  <c r="J43" i="19"/>
  <c r="H43" i="19"/>
  <c r="P42" i="19"/>
  <c r="J42" i="19"/>
  <c r="H42" i="19"/>
  <c r="P41" i="19"/>
  <c r="J41" i="19"/>
  <c r="H41" i="19"/>
  <c r="P40" i="19"/>
  <c r="J40" i="19"/>
  <c r="H40" i="19"/>
  <c r="P39" i="19"/>
  <c r="J39" i="19"/>
  <c r="H39" i="19"/>
  <c r="P38" i="19"/>
  <c r="J38" i="19"/>
  <c r="H38" i="19"/>
  <c r="P37" i="19"/>
  <c r="J37" i="19"/>
  <c r="H37" i="19"/>
  <c r="P36" i="19"/>
  <c r="J36" i="19"/>
  <c r="H36" i="19"/>
  <c r="P35" i="19"/>
  <c r="J35" i="19"/>
  <c r="H35" i="19"/>
  <c r="P34" i="19"/>
  <c r="J34" i="19"/>
  <c r="H34" i="19"/>
  <c r="P33" i="19"/>
  <c r="J33" i="19"/>
  <c r="H33" i="19"/>
  <c r="P32" i="19"/>
  <c r="J32" i="19"/>
  <c r="H32" i="19"/>
  <c r="P31" i="19"/>
  <c r="J31" i="19"/>
  <c r="H31" i="19"/>
  <c r="P30" i="19"/>
  <c r="J30" i="19"/>
  <c r="H30" i="19"/>
  <c r="P29" i="19"/>
  <c r="J29" i="19"/>
  <c r="H29" i="19"/>
  <c r="P28" i="19"/>
  <c r="J28" i="19"/>
  <c r="H28" i="19"/>
  <c r="P27" i="19"/>
  <c r="J27" i="19"/>
  <c r="H27" i="19"/>
  <c r="P26" i="19"/>
  <c r="J26" i="19"/>
  <c r="H26" i="19"/>
  <c r="P25" i="19"/>
  <c r="J25" i="19"/>
  <c r="H25" i="19"/>
  <c r="P24" i="19"/>
  <c r="J24" i="19"/>
  <c r="H24" i="19"/>
  <c r="P23" i="19"/>
  <c r="J23" i="19"/>
  <c r="H23" i="19"/>
  <c r="P22" i="19"/>
  <c r="J22" i="19"/>
  <c r="H22" i="19"/>
  <c r="P21" i="19"/>
  <c r="J21" i="19"/>
  <c r="H21" i="19"/>
  <c r="P20" i="19"/>
  <c r="J20" i="19"/>
  <c r="H20" i="19"/>
  <c r="P19" i="19"/>
  <c r="J19" i="19"/>
  <c r="H19" i="19"/>
  <c r="P18" i="19"/>
  <c r="J18" i="19"/>
  <c r="H18" i="19"/>
  <c r="P17" i="19"/>
  <c r="J17" i="19"/>
  <c r="H17" i="19"/>
  <c r="P16" i="19"/>
  <c r="J16" i="19"/>
  <c r="H16" i="19"/>
  <c r="P15" i="19"/>
  <c r="J15" i="19"/>
  <c r="H15" i="19"/>
  <c r="P14" i="19"/>
  <c r="J14" i="19"/>
  <c r="H14" i="19"/>
  <c r="P13" i="19"/>
  <c r="J13" i="19"/>
  <c r="H13" i="19"/>
  <c r="P12" i="19"/>
  <c r="J12" i="19"/>
  <c r="H12" i="19"/>
  <c r="P11" i="19"/>
  <c r="J11" i="19"/>
  <c r="H11" i="19"/>
  <c r="H10" i="19"/>
  <c r="H9" i="19"/>
  <c r="H8" i="19"/>
  <c r="H7" i="19"/>
  <c r="H6" i="19"/>
  <c r="H5" i="19"/>
  <c r="N204" i="18"/>
  <c r="N203" i="18"/>
  <c r="N202" i="18"/>
  <c r="N201" i="18"/>
  <c r="N200" i="18"/>
  <c r="N199" i="18"/>
  <c r="N198" i="18"/>
  <c r="N197" i="18"/>
  <c r="N196" i="18"/>
  <c r="N195" i="18"/>
  <c r="N194" i="18"/>
  <c r="N193" i="18"/>
  <c r="N192" i="18"/>
  <c r="N191" i="18"/>
  <c r="N190" i="18"/>
  <c r="N189" i="18"/>
  <c r="N188" i="18"/>
  <c r="N187" i="18"/>
  <c r="N186" i="18"/>
  <c r="N185" i="18"/>
  <c r="N184" i="18"/>
  <c r="N183" i="18"/>
  <c r="N182" i="18"/>
  <c r="N181" i="18"/>
  <c r="N180" i="18"/>
  <c r="N179" i="18"/>
  <c r="N178" i="18"/>
  <c r="N177" i="18"/>
  <c r="N176" i="18"/>
  <c r="N175" i="18"/>
  <c r="N174" i="18"/>
  <c r="N173" i="18"/>
  <c r="N172" i="18"/>
  <c r="N171" i="18"/>
  <c r="N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T104" i="17"/>
  <c r="Q104" i="17"/>
  <c r="P104" i="17"/>
  <c r="O104" i="17"/>
  <c r="K104" i="17"/>
  <c r="T103" i="17"/>
  <c r="Q103" i="17"/>
  <c r="P103" i="17"/>
  <c r="O103" i="17"/>
  <c r="K103" i="17"/>
  <c r="T102" i="17"/>
  <c r="Q102" i="17"/>
  <c r="P102" i="17"/>
  <c r="O102" i="17"/>
  <c r="K102" i="17"/>
  <c r="T101" i="17"/>
  <c r="Q101" i="17"/>
  <c r="P101" i="17"/>
  <c r="O101" i="17"/>
  <c r="K101" i="17"/>
  <c r="T100" i="17"/>
  <c r="Q100" i="17"/>
  <c r="P100" i="17"/>
  <c r="O100" i="17"/>
  <c r="K100" i="17"/>
  <c r="T99" i="17"/>
  <c r="Q99" i="17"/>
  <c r="P99" i="17"/>
  <c r="O99" i="17"/>
  <c r="K99" i="17"/>
  <c r="T98" i="17"/>
  <c r="Q98" i="17"/>
  <c r="P98" i="17"/>
  <c r="O98" i="17"/>
  <c r="K98" i="17"/>
  <c r="T97" i="17"/>
  <c r="Q97" i="17"/>
  <c r="P97" i="17"/>
  <c r="O97" i="17"/>
  <c r="K97" i="17"/>
  <c r="T96" i="17"/>
  <c r="Q96" i="17"/>
  <c r="P96" i="17"/>
  <c r="O96" i="17"/>
  <c r="K96" i="17"/>
  <c r="T95" i="17"/>
  <c r="Q95" i="17"/>
  <c r="P95" i="17"/>
  <c r="O95" i="17"/>
  <c r="K95" i="17"/>
  <c r="T94" i="17"/>
  <c r="Q94" i="17"/>
  <c r="P94" i="17"/>
  <c r="O94" i="17"/>
  <c r="K94" i="17"/>
  <c r="T93" i="17"/>
  <c r="Q93" i="17"/>
  <c r="P93" i="17"/>
  <c r="O93" i="17"/>
  <c r="K93" i="17"/>
  <c r="T92" i="17"/>
  <c r="Q92" i="17"/>
  <c r="P92" i="17"/>
  <c r="O92" i="17"/>
  <c r="K92" i="17"/>
  <c r="T91" i="17"/>
  <c r="Q91" i="17"/>
  <c r="P91" i="17"/>
  <c r="O91" i="17"/>
  <c r="K91" i="17"/>
  <c r="T90" i="17"/>
  <c r="Q90" i="17"/>
  <c r="P90" i="17"/>
  <c r="O90" i="17"/>
  <c r="K90" i="17"/>
  <c r="T89" i="17"/>
  <c r="Q89" i="17"/>
  <c r="P89" i="17"/>
  <c r="O89" i="17"/>
  <c r="K89" i="17"/>
  <c r="T88" i="17"/>
  <c r="Q88" i="17"/>
  <c r="P88" i="17"/>
  <c r="O88" i="17"/>
  <c r="K88" i="17"/>
  <c r="T87" i="17"/>
  <c r="Q87" i="17"/>
  <c r="P87" i="17"/>
  <c r="O87" i="17"/>
  <c r="K87" i="17"/>
  <c r="T86" i="17"/>
  <c r="Q86" i="17"/>
  <c r="P86" i="17"/>
  <c r="O86" i="17"/>
  <c r="K86" i="17"/>
  <c r="T85" i="17"/>
  <c r="Q85" i="17"/>
  <c r="P85" i="17"/>
  <c r="O85" i="17"/>
  <c r="K85" i="17"/>
  <c r="T84" i="17"/>
  <c r="Q84" i="17"/>
  <c r="P84" i="17"/>
  <c r="O84" i="17"/>
  <c r="K84" i="17"/>
  <c r="T83" i="17"/>
  <c r="Q83" i="17"/>
  <c r="P83" i="17"/>
  <c r="O83" i="17"/>
  <c r="K83" i="17"/>
  <c r="T82" i="17"/>
  <c r="Q82" i="17"/>
  <c r="P82" i="17"/>
  <c r="O82" i="17"/>
  <c r="K82" i="17"/>
  <c r="T81" i="17"/>
  <c r="Q81" i="17"/>
  <c r="P81" i="17"/>
  <c r="O81" i="17"/>
  <c r="K81" i="17"/>
  <c r="T80" i="17"/>
  <c r="Q80" i="17"/>
  <c r="P80" i="17"/>
  <c r="O80" i="17"/>
  <c r="K80" i="17"/>
  <c r="T79" i="17"/>
  <c r="Q79" i="17"/>
  <c r="P79" i="17"/>
  <c r="O79" i="17"/>
  <c r="K79" i="17"/>
  <c r="T78" i="17"/>
  <c r="Q78" i="17"/>
  <c r="P78" i="17"/>
  <c r="O78" i="17"/>
  <c r="K78" i="17"/>
  <c r="T77" i="17"/>
  <c r="Q77" i="17"/>
  <c r="P77" i="17"/>
  <c r="O77" i="17"/>
  <c r="K77" i="17"/>
  <c r="T76" i="17"/>
  <c r="Q76" i="17"/>
  <c r="P76" i="17"/>
  <c r="O76" i="17"/>
  <c r="K76" i="17"/>
  <c r="T75" i="17"/>
  <c r="Q75" i="17"/>
  <c r="P75" i="17"/>
  <c r="O75" i="17"/>
  <c r="K75" i="17"/>
  <c r="T74" i="17"/>
  <c r="Q74" i="17"/>
  <c r="P74" i="17"/>
  <c r="O74" i="17"/>
  <c r="K74" i="17"/>
  <c r="T73" i="17"/>
  <c r="Q73" i="17"/>
  <c r="P73" i="17"/>
  <c r="O73" i="17"/>
  <c r="K73" i="17"/>
  <c r="T72" i="17"/>
  <c r="Q72" i="17"/>
  <c r="P72" i="17"/>
  <c r="O72" i="17"/>
  <c r="K72" i="17"/>
  <c r="T71" i="17"/>
  <c r="Q71" i="17"/>
  <c r="P71" i="17"/>
  <c r="O71" i="17"/>
  <c r="K71" i="17"/>
  <c r="T70" i="17"/>
  <c r="Q70" i="17"/>
  <c r="P70" i="17"/>
  <c r="O70" i="17"/>
  <c r="K70" i="17"/>
  <c r="T69" i="17"/>
  <c r="Q69" i="17"/>
  <c r="P69" i="17"/>
  <c r="O69" i="17"/>
  <c r="K69" i="17"/>
  <c r="T68" i="17"/>
  <c r="Q68" i="17"/>
  <c r="P68" i="17"/>
  <c r="O68" i="17"/>
  <c r="K68" i="17"/>
  <c r="T67" i="17"/>
  <c r="Q67" i="17"/>
  <c r="P67" i="17"/>
  <c r="O67" i="17"/>
  <c r="K67" i="17"/>
  <c r="T66" i="17"/>
  <c r="Q66" i="17"/>
  <c r="P66" i="17"/>
  <c r="O66" i="17"/>
  <c r="K66" i="17"/>
  <c r="T65" i="17"/>
  <c r="Q65" i="17"/>
  <c r="P65" i="17"/>
  <c r="O65" i="17"/>
  <c r="K65" i="17"/>
  <c r="T64" i="17"/>
  <c r="Q64" i="17"/>
  <c r="P64" i="17"/>
  <c r="O64" i="17"/>
  <c r="K64" i="17"/>
  <c r="T63" i="17"/>
  <c r="Q63" i="17"/>
  <c r="P63" i="17"/>
  <c r="O63" i="17"/>
  <c r="K63" i="17"/>
  <c r="T62" i="17"/>
  <c r="Q62" i="17"/>
  <c r="P62" i="17"/>
  <c r="O62" i="17"/>
  <c r="K62" i="17"/>
  <c r="T61" i="17"/>
  <c r="Q61" i="17"/>
  <c r="P61" i="17"/>
  <c r="O61" i="17"/>
  <c r="K61" i="17"/>
  <c r="T60" i="17"/>
  <c r="Q60" i="17"/>
  <c r="P60" i="17"/>
  <c r="O60" i="17"/>
  <c r="K60" i="17"/>
  <c r="T59" i="17"/>
  <c r="Q59" i="17"/>
  <c r="P59" i="17"/>
  <c r="O59" i="17"/>
  <c r="K59" i="17"/>
  <c r="T58" i="17"/>
  <c r="Q58" i="17"/>
  <c r="P58" i="17"/>
  <c r="O58" i="17"/>
  <c r="K58" i="17"/>
  <c r="T57" i="17"/>
  <c r="Q57" i="17"/>
  <c r="P57" i="17"/>
  <c r="O57" i="17"/>
  <c r="K57" i="17"/>
  <c r="T56" i="17"/>
  <c r="Q56" i="17"/>
  <c r="P56" i="17"/>
  <c r="O56" i="17"/>
  <c r="K56" i="17"/>
  <c r="T55" i="17"/>
  <c r="Q55" i="17"/>
  <c r="P55" i="17"/>
  <c r="O55" i="17"/>
  <c r="K55" i="17"/>
  <c r="T54" i="17"/>
  <c r="Q54" i="17"/>
  <c r="P54" i="17"/>
  <c r="O54" i="17"/>
  <c r="K54" i="17"/>
  <c r="T53" i="17"/>
  <c r="Q53" i="17"/>
  <c r="P53" i="17"/>
  <c r="O53" i="17"/>
  <c r="K53" i="17"/>
  <c r="T52" i="17"/>
  <c r="Q52" i="17"/>
  <c r="P52" i="17"/>
  <c r="O52" i="17"/>
  <c r="K52" i="17"/>
  <c r="T51" i="17"/>
  <c r="Q51" i="17"/>
  <c r="P51" i="17"/>
  <c r="O51" i="17"/>
  <c r="K51" i="17"/>
  <c r="T50" i="17"/>
  <c r="Q50" i="17"/>
  <c r="P50" i="17"/>
  <c r="O50" i="17"/>
  <c r="K50" i="17"/>
  <c r="T49" i="17"/>
  <c r="Q49" i="17"/>
  <c r="P49" i="17"/>
  <c r="O49" i="17"/>
  <c r="K49" i="17"/>
  <c r="T48" i="17"/>
  <c r="Q48" i="17"/>
  <c r="P48" i="17"/>
  <c r="O48" i="17"/>
  <c r="K48" i="17"/>
  <c r="T47" i="17"/>
  <c r="Q47" i="17"/>
  <c r="P47" i="17"/>
  <c r="O47" i="17"/>
  <c r="K47" i="17"/>
  <c r="T46" i="17"/>
  <c r="Q46" i="17"/>
  <c r="P46" i="17"/>
  <c r="O46" i="17"/>
  <c r="K46" i="17"/>
  <c r="T45" i="17"/>
  <c r="Q45" i="17"/>
  <c r="P45" i="17"/>
  <c r="O45" i="17"/>
  <c r="K45" i="17"/>
  <c r="T44" i="17"/>
  <c r="Q44" i="17"/>
  <c r="P44" i="17"/>
  <c r="O44" i="17"/>
  <c r="K44" i="17"/>
  <c r="T43" i="17"/>
  <c r="Q43" i="17"/>
  <c r="P43" i="17"/>
  <c r="O43" i="17"/>
  <c r="K43" i="17"/>
  <c r="T42" i="17"/>
  <c r="Q42" i="17"/>
  <c r="P42" i="17"/>
  <c r="O42" i="17"/>
  <c r="K42" i="17"/>
  <c r="T41" i="17"/>
  <c r="Q41" i="17"/>
  <c r="P41" i="17"/>
  <c r="O41" i="17"/>
  <c r="K41" i="17"/>
  <c r="T40" i="17"/>
  <c r="Q40" i="17"/>
  <c r="P40" i="17"/>
  <c r="O40" i="17"/>
  <c r="K40" i="17"/>
  <c r="T39" i="17"/>
  <c r="Q39" i="17"/>
  <c r="P39" i="17"/>
  <c r="O39" i="17"/>
  <c r="K39" i="17"/>
  <c r="T38" i="17"/>
  <c r="Q38" i="17"/>
  <c r="P38" i="17"/>
  <c r="O38" i="17"/>
  <c r="K38" i="17"/>
  <c r="T37" i="17"/>
  <c r="Q37" i="17"/>
  <c r="P37" i="17"/>
  <c r="O37" i="17"/>
  <c r="K37" i="17"/>
  <c r="T36" i="17"/>
  <c r="Q36" i="17"/>
  <c r="P36" i="17"/>
  <c r="O36" i="17"/>
  <c r="K36" i="17"/>
  <c r="T35" i="17"/>
  <c r="Q35" i="17"/>
  <c r="P35" i="17"/>
  <c r="O35" i="17"/>
  <c r="K35" i="17"/>
  <c r="T34" i="17"/>
  <c r="Q34" i="17"/>
  <c r="P34" i="17"/>
  <c r="O34" i="17"/>
  <c r="K34" i="17"/>
  <c r="T33" i="17"/>
  <c r="Q33" i="17"/>
  <c r="P33" i="17"/>
  <c r="O33" i="17"/>
  <c r="K33" i="17"/>
  <c r="T32" i="17"/>
  <c r="Q32" i="17"/>
  <c r="P32" i="17"/>
  <c r="O32" i="17"/>
  <c r="K32" i="17"/>
  <c r="T31" i="17"/>
  <c r="Q31" i="17"/>
  <c r="P31" i="17"/>
  <c r="O31" i="17"/>
  <c r="K31" i="17"/>
  <c r="T30" i="17"/>
  <c r="Q30" i="17"/>
  <c r="P30" i="17"/>
  <c r="O30" i="17"/>
  <c r="K30" i="17"/>
  <c r="T29" i="17"/>
  <c r="Q29" i="17"/>
  <c r="P29" i="17"/>
  <c r="O29" i="17"/>
  <c r="K29" i="17"/>
  <c r="T28" i="17"/>
  <c r="Q28" i="17"/>
  <c r="P28" i="17"/>
  <c r="O28" i="17"/>
  <c r="K28" i="17"/>
  <c r="T27" i="17"/>
  <c r="Q27" i="17"/>
  <c r="P27" i="17"/>
  <c r="O27" i="17"/>
  <c r="K27" i="17"/>
  <c r="T26" i="17"/>
  <c r="Q26" i="17"/>
  <c r="P26" i="17"/>
  <c r="O26" i="17"/>
  <c r="K26" i="17"/>
  <c r="T25" i="17"/>
  <c r="Q25" i="17"/>
  <c r="P25" i="17"/>
  <c r="O25" i="17"/>
  <c r="K25" i="17"/>
  <c r="T24" i="17"/>
  <c r="Q24" i="17"/>
  <c r="P24" i="17"/>
  <c r="O24" i="17"/>
  <c r="K24" i="17"/>
  <c r="T23" i="17"/>
  <c r="Q23" i="17"/>
  <c r="P23" i="17"/>
  <c r="O23" i="17"/>
  <c r="K23" i="17"/>
  <c r="T22" i="17"/>
  <c r="Q22" i="17"/>
  <c r="P22" i="17"/>
  <c r="O22" i="17"/>
  <c r="K22" i="17"/>
  <c r="T21" i="17"/>
  <c r="Q21" i="17"/>
  <c r="P21" i="17"/>
  <c r="O21" i="17"/>
  <c r="K21" i="17"/>
  <c r="T20" i="17"/>
  <c r="Q20" i="17"/>
  <c r="P20" i="17"/>
  <c r="O20" i="17"/>
  <c r="K20" i="17"/>
  <c r="T19" i="17"/>
  <c r="Q19" i="17"/>
  <c r="P19" i="17"/>
  <c r="O19" i="17"/>
  <c r="K19" i="17"/>
  <c r="T18" i="17"/>
  <c r="Q18" i="17"/>
  <c r="P18" i="17"/>
  <c r="O18" i="17"/>
  <c r="K18" i="17"/>
  <c r="T17" i="17"/>
  <c r="Q17" i="17"/>
  <c r="P17" i="17"/>
  <c r="O17" i="17"/>
  <c r="K17" i="17"/>
  <c r="T16" i="17"/>
  <c r="Q16" i="17"/>
  <c r="P16" i="17"/>
  <c r="O16" i="17"/>
  <c r="K16" i="17"/>
  <c r="T15" i="17"/>
  <c r="Q15" i="17"/>
  <c r="P15" i="17"/>
  <c r="O15" i="17"/>
  <c r="K15" i="17"/>
  <c r="T14" i="17"/>
  <c r="Q14" i="17"/>
  <c r="P14" i="17"/>
  <c r="O14" i="17"/>
  <c r="K14" i="17"/>
  <c r="T13" i="17"/>
  <c r="Q13" i="17"/>
  <c r="P13" i="17"/>
  <c r="O13" i="17"/>
  <c r="K13" i="17"/>
  <c r="T12" i="17"/>
  <c r="Q12" i="17"/>
  <c r="P12" i="17"/>
  <c r="O12" i="17"/>
  <c r="K12" i="17"/>
  <c r="T11" i="17"/>
  <c r="Q11" i="17"/>
  <c r="P11" i="17"/>
  <c r="O11" i="17"/>
  <c r="K11" i="17"/>
  <c r="T10" i="17"/>
  <c r="Q10" i="17"/>
  <c r="P10" i="17"/>
  <c r="O10" i="17"/>
  <c r="K10" i="17"/>
  <c r="T9" i="17"/>
  <c r="Q9" i="17"/>
  <c r="P9" i="17"/>
  <c r="O9" i="17"/>
  <c r="K9" i="17"/>
  <c r="T8" i="17"/>
  <c r="Q8" i="17"/>
  <c r="P8" i="17"/>
  <c r="O8" i="17"/>
  <c r="K8" i="17"/>
  <c r="T7" i="17"/>
  <c r="Q7" i="17"/>
  <c r="P7" i="17"/>
  <c r="O7" i="17"/>
  <c r="K7" i="17"/>
  <c r="T6" i="17"/>
  <c r="Q6" i="17"/>
  <c r="P6" i="17"/>
  <c r="O6" i="17"/>
  <c r="K6" i="17"/>
  <c r="T5" i="17"/>
  <c r="Q5" i="17"/>
  <c r="P5" i="17"/>
  <c r="O5" i="17"/>
  <c r="K5" i="17"/>
  <c r="B34" i="16"/>
  <c r="B33" i="16"/>
  <c r="B32" i="16"/>
  <c r="B31" i="16"/>
  <c r="B30" i="16"/>
  <c r="B29" i="16"/>
  <c r="B28" i="16"/>
  <c r="L23" i="16"/>
  <c r="K23" i="16"/>
  <c r="J23" i="16"/>
  <c r="I23" i="16"/>
  <c r="G23" i="16"/>
  <c r="F23" i="16"/>
  <c r="E23" i="16"/>
  <c r="D23" i="16"/>
  <c r="C23" i="16"/>
  <c r="B23" i="16"/>
  <c r="A23" i="16"/>
  <c r="L22" i="16"/>
  <c r="K22" i="16"/>
  <c r="J22" i="16"/>
  <c r="I22" i="16"/>
  <c r="G22" i="16"/>
  <c r="F22" i="16"/>
  <c r="E22" i="16"/>
  <c r="D22" i="16"/>
  <c r="C22" i="16"/>
  <c r="B22" i="16"/>
  <c r="A22" i="16"/>
  <c r="L21" i="16"/>
  <c r="K21" i="16"/>
  <c r="J21" i="16"/>
  <c r="I21" i="16"/>
  <c r="G21" i="16"/>
  <c r="F21" i="16"/>
  <c r="E21" i="16"/>
  <c r="D21" i="16"/>
  <c r="C21" i="16"/>
  <c r="B21" i="16"/>
  <c r="A21" i="16"/>
  <c r="L20" i="16"/>
  <c r="K20" i="16"/>
  <c r="J20" i="16"/>
  <c r="I20" i="16"/>
  <c r="G20" i="16"/>
  <c r="F20" i="16"/>
  <c r="E20" i="16"/>
  <c r="D20" i="16"/>
  <c r="C20" i="16"/>
  <c r="B20" i="16"/>
  <c r="A20" i="16"/>
  <c r="L19" i="16"/>
  <c r="K19" i="16"/>
  <c r="J19" i="16"/>
  <c r="I19" i="16"/>
  <c r="G19" i="16"/>
  <c r="F19" i="16"/>
  <c r="E19" i="16"/>
  <c r="D19" i="16"/>
  <c r="C19" i="16"/>
  <c r="B19" i="16"/>
  <c r="A19" i="16"/>
  <c r="L18" i="16"/>
  <c r="K18" i="16"/>
  <c r="J18" i="16"/>
  <c r="I18" i="16"/>
  <c r="G18" i="16"/>
  <c r="F18" i="16"/>
  <c r="E18" i="16"/>
  <c r="D18" i="16"/>
  <c r="C18" i="16"/>
  <c r="B18" i="16"/>
  <c r="A18" i="16"/>
  <c r="AB8" i="16"/>
  <c r="AB7" i="16"/>
  <c r="AB6" i="16"/>
  <c r="G11" i="16" s="1"/>
  <c r="AB5" i="16"/>
  <c r="B11" i="16" s="1"/>
  <c r="AB4" i="16"/>
  <c r="K6" i="16" s="1"/>
  <c r="AB3" i="16"/>
  <c r="G6" i="16" s="1"/>
  <c r="AB2" i="16"/>
  <c r="B6" i="16" s="1"/>
  <c r="D16" i="14"/>
  <c r="B19" i="13"/>
  <c r="B18" i="13"/>
  <c r="B17" i="13"/>
  <c r="B57" i="9"/>
  <c r="L54" i="9"/>
  <c r="M54" i="9" s="1"/>
  <c r="L53" i="9"/>
  <c r="M53" i="9" s="1"/>
  <c r="L52" i="9"/>
  <c r="M52" i="9" s="1"/>
  <c r="L51" i="9"/>
  <c r="M51" i="9" s="1"/>
  <c r="L50" i="9"/>
  <c r="M50" i="9" s="1"/>
  <c r="L49" i="9"/>
  <c r="M49" i="9" s="1"/>
  <c r="L48" i="9"/>
  <c r="M48" i="9" s="1"/>
  <c r="L47" i="9"/>
  <c r="M47" i="9" s="1"/>
  <c r="L46" i="9"/>
  <c r="M46" i="9" s="1"/>
  <c r="L45" i="9"/>
  <c r="M45" i="9" s="1"/>
  <c r="L44" i="9"/>
  <c r="M44" i="9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7" i="9"/>
  <c r="M37" i="9" s="1"/>
  <c r="L36" i="9"/>
  <c r="M36" i="9" s="1"/>
  <c r="L35" i="9"/>
  <c r="M35" i="9" s="1"/>
  <c r="L34" i="9"/>
  <c r="M34" i="9" s="1"/>
  <c r="L33" i="9"/>
  <c r="M33" i="9" s="1"/>
  <c r="L32" i="9"/>
  <c r="M32" i="9" s="1"/>
  <c r="L31" i="9"/>
  <c r="M31" i="9" s="1"/>
  <c r="L30" i="9"/>
  <c r="M30" i="9" s="1"/>
  <c r="L29" i="9"/>
  <c r="M29" i="9" s="1"/>
  <c r="L28" i="9"/>
  <c r="M28" i="9" s="1"/>
  <c r="L27" i="9"/>
  <c r="M27" i="9" s="1"/>
  <c r="L26" i="9"/>
  <c r="M26" i="9" s="1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L6" i="9"/>
  <c r="M6" i="9" s="1"/>
  <c r="L5" i="9"/>
  <c r="M5" i="9" s="1"/>
  <c r="O300" i="8"/>
  <c r="P300" i="8" s="1"/>
  <c r="O299" i="8"/>
  <c r="P299" i="8" s="1"/>
  <c r="O298" i="8"/>
  <c r="P298" i="8" s="1"/>
  <c r="O297" i="8"/>
  <c r="P297" i="8" s="1"/>
  <c r="O296" i="8"/>
  <c r="P296" i="8" s="1"/>
  <c r="O295" i="8"/>
  <c r="P295" i="8" s="1"/>
  <c r="O294" i="8"/>
  <c r="P294" i="8" s="1"/>
  <c r="O293" i="8"/>
  <c r="P293" i="8" s="1"/>
  <c r="O292" i="8"/>
  <c r="P292" i="8" s="1"/>
  <c r="O291" i="8"/>
  <c r="P291" i="8" s="1"/>
  <c r="O290" i="8"/>
  <c r="P290" i="8" s="1"/>
  <c r="O289" i="8"/>
  <c r="P289" i="8" s="1"/>
  <c r="O288" i="8"/>
  <c r="P288" i="8" s="1"/>
  <c r="O287" i="8"/>
  <c r="P287" i="8" s="1"/>
  <c r="O286" i="8"/>
  <c r="P286" i="8" s="1"/>
  <c r="O285" i="8"/>
  <c r="P285" i="8" s="1"/>
  <c r="O284" i="8"/>
  <c r="P284" i="8" s="1"/>
  <c r="O283" i="8"/>
  <c r="P283" i="8" s="1"/>
  <c r="O282" i="8"/>
  <c r="P282" i="8" s="1"/>
  <c r="O281" i="8"/>
  <c r="P281" i="8" s="1"/>
  <c r="O280" i="8"/>
  <c r="P280" i="8" s="1"/>
  <c r="O279" i="8"/>
  <c r="P279" i="8" s="1"/>
  <c r="O278" i="8"/>
  <c r="P278" i="8" s="1"/>
  <c r="O277" i="8"/>
  <c r="P277" i="8" s="1"/>
  <c r="O276" i="8"/>
  <c r="P276" i="8" s="1"/>
  <c r="O275" i="8"/>
  <c r="P275" i="8" s="1"/>
  <c r="O274" i="8"/>
  <c r="P274" i="8" s="1"/>
  <c r="O273" i="8"/>
  <c r="P273" i="8" s="1"/>
  <c r="O272" i="8"/>
  <c r="P272" i="8" s="1"/>
  <c r="O271" i="8"/>
  <c r="P271" i="8" s="1"/>
  <c r="O270" i="8"/>
  <c r="P270" i="8" s="1"/>
  <c r="O269" i="8"/>
  <c r="P269" i="8" s="1"/>
  <c r="O268" i="8"/>
  <c r="P268" i="8" s="1"/>
  <c r="O267" i="8"/>
  <c r="P267" i="8" s="1"/>
  <c r="O266" i="8"/>
  <c r="P266" i="8" s="1"/>
  <c r="O265" i="8"/>
  <c r="P265" i="8" s="1"/>
  <c r="O264" i="8"/>
  <c r="P264" i="8" s="1"/>
  <c r="O263" i="8"/>
  <c r="P263" i="8" s="1"/>
  <c r="O262" i="8"/>
  <c r="P262" i="8" s="1"/>
  <c r="O261" i="8"/>
  <c r="P261" i="8" s="1"/>
  <c r="O260" i="8"/>
  <c r="P260" i="8" s="1"/>
  <c r="O259" i="8"/>
  <c r="P259" i="8" s="1"/>
  <c r="O258" i="8"/>
  <c r="P258" i="8" s="1"/>
  <c r="O257" i="8"/>
  <c r="P257" i="8" s="1"/>
  <c r="O256" i="8"/>
  <c r="P256" i="8" s="1"/>
  <c r="O255" i="8"/>
  <c r="P255" i="8" s="1"/>
  <c r="O254" i="8"/>
  <c r="P254" i="8" s="1"/>
  <c r="O253" i="8"/>
  <c r="P253" i="8" s="1"/>
  <c r="O252" i="8"/>
  <c r="P252" i="8" s="1"/>
  <c r="O251" i="8"/>
  <c r="P251" i="8" s="1"/>
  <c r="O250" i="8"/>
  <c r="P250" i="8" s="1"/>
  <c r="O249" i="8"/>
  <c r="P249" i="8" s="1"/>
  <c r="O248" i="8"/>
  <c r="P248" i="8" s="1"/>
  <c r="O247" i="8"/>
  <c r="P247" i="8" s="1"/>
  <c r="O246" i="8"/>
  <c r="P246" i="8" s="1"/>
  <c r="O245" i="8"/>
  <c r="P245" i="8" s="1"/>
  <c r="O244" i="8"/>
  <c r="P244" i="8" s="1"/>
  <c r="O243" i="8"/>
  <c r="P243" i="8" s="1"/>
  <c r="O242" i="8"/>
  <c r="P242" i="8" s="1"/>
  <c r="O241" i="8"/>
  <c r="P241" i="8" s="1"/>
  <c r="O240" i="8"/>
  <c r="P240" i="8" s="1"/>
  <c r="O239" i="8"/>
  <c r="P239" i="8" s="1"/>
  <c r="O238" i="8"/>
  <c r="P238" i="8" s="1"/>
  <c r="O237" i="8"/>
  <c r="P237" i="8" s="1"/>
  <c r="O236" i="8"/>
  <c r="P236" i="8" s="1"/>
  <c r="O235" i="8"/>
  <c r="P235" i="8" s="1"/>
  <c r="O234" i="8"/>
  <c r="P234" i="8" s="1"/>
  <c r="O233" i="8"/>
  <c r="P233" i="8" s="1"/>
  <c r="O232" i="8"/>
  <c r="P232" i="8" s="1"/>
  <c r="O231" i="8"/>
  <c r="P231" i="8" s="1"/>
  <c r="O230" i="8"/>
  <c r="P230" i="8" s="1"/>
  <c r="O229" i="8"/>
  <c r="P229" i="8" s="1"/>
  <c r="O228" i="8"/>
  <c r="P228" i="8" s="1"/>
  <c r="O227" i="8"/>
  <c r="P227" i="8" s="1"/>
  <c r="O226" i="8"/>
  <c r="P226" i="8" s="1"/>
  <c r="O225" i="8"/>
  <c r="P225" i="8" s="1"/>
  <c r="O224" i="8"/>
  <c r="P224" i="8" s="1"/>
  <c r="O223" i="8"/>
  <c r="P223" i="8" s="1"/>
  <c r="O222" i="8"/>
  <c r="P222" i="8" s="1"/>
  <c r="O221" i="8"/>
  <c r="P221" i="8" s="1"/>
  <c r="O220" i="8"/>
  <c r="P220" i="8" s="1"/>
  <c r="O219" i="8"/>
  <c r="P219" i="8" s="1"/>
  <c r="O218" i="8"/>
  <c r="P218" i="8" s="1"/>
  <c r="O217" i="8"/>
  <c r="P217" i="8" s="1"/>
  <c r="O216" i="8"/>
  <c r="P216" i="8" s="1"/>
  <c r="O215" i="8"/>
  <c r="P215" i="8" s="1"/>
  <c r="O214" i="8"/>
  <c r="P214" i="8" s="1"/>
  <c r="O213" i="8"/>
  <c r="P213" i="8" s="1"/>
  <c r="O212" i="8"/>
  <c r="P212" i="8" s="1"/>
  <c r="O211" i="8"/>
  <c r="P211" i="8" s="1"/>
  <c r="O210" i="8"/>
  <c r="P210" i="8" s="1"/>
  <c r="O209" i="8"/>
  <c r="P209" i="8" s="1"/>
  <c r="O208" i="8"/>
  <c r="P208" i="8" s="1"/>
  <c r="O207" i="8"/>
  <c r="P207" i="8" s="1"/>
  <c r="O206" i="8"/>
  <c r="P206" i="8" s="1"/>
  <c r="O205" i="8"/>
  <c r="P205" i="8" s="1"/>
  <c r="O204" i="8"/>
  <c r="P204" i="8" s="1"/>
  <c r="O203" i="8"/>
  <c r="P203" i="8" s="1"/>
  <c r="O202" i="8"/>
  <c r="P202" i="8" s="1"/>
  <c r="O201" i="8"/>
  <c r="P201" i="8" s="1"/>
  <c r="O200" i="8"/>
  <c r="P200" i="8" s="1"/>
  <c r="O199" i="8"/>
  <c r="P199" i="8" s="1"/>
  <c r="O198" i="8"/>
  <c r="P198" i="8" s="1"/>
  <c r="O197" i="8"/>
  <c r="P197" i="8" s="1"/>
  <c r="O196" i="8"/>
  <c r="P196" i="8" s="1"/>
  <c r="O195" i="8"/>
  <c r="P195" i="8" s="1"/>
  <c r="O194" i="8"/>
  <c r="P194" i="8" s="1"/>
  <c r="O193" i="8"/>
  <c r="P193" i="8" s="1"/>
  <c r="O192" i="8"/>
  <c r="P192" i="8" s="1"/>
  <c r="O191" i="8"/>
  <c r="P191" i="8" s="1"/>
  <c r="O190" i="8"/>
  <c r="P190" i="8" s="1"/>
  <c r="O189" i="8"/>
  <c r="P189" i="8" s="1"/>
  <c r="O188" i="8"/>
  <c r="P188" i="8" s="1"/>
  <c r="O187" i="8"/>
  <c r="P187" i="8" s="1"/>
  <c r="O186" i="8"/>
  <c r="P186" i="8" s="1"/>
  <c r="O185" i="8"/>
  <c r="P185" i="8" s="1"/>
  <c r="O184" i="8"/>
  <c r="P184" i="8" s="1"/>
  <c r="O183" i="8"/>
  <c r="P183" i="8" s="1"/>
  <c r="O182" i="8"/>
  <c r="P182" i="8" s="1"/>
  <c r="O181" i="8"/>
  <c r="P181" i="8" s="1"/>
  <c r="O180" i="8"/>
  <c r="P180" i="8" s="1"/>
  <c r="O179" i="8"/>
  <c r="P179" i="8" s="1"/>
  <c r="O178" i="8"/>
  <c r="P178" i="8" s="1"/>
  <c r="O177" i="8"/>
  <c r="P177" i="8" s="1"/>
  <c r="O176" i="8"/>
  <c r="P176" i="8" s="1"/>
  <c r="O175" i="8"/>
  <c r="P175" i="8" s="1"/>
  <c r="O174" i="8"/>
  <c r="P174" i="8" s="1"/>
  <c r="O173" i="8"/>
  <c r="P173" i="8" s="1"/>
  <c r="O172" i="8"/>
  <c r="P172" i="8" s="1"/>
  <c r="O171" i="8"/>
  <c r="P171" i="8" s="1"/>
  <c r="O170" i="8"/>
  <c r="P170" i="8" s="1"/>
  <c r="O169" i="8"/>
  <c r="P169" i="8" s="1"/>
  <c r="O168" i="8"/>
  <c r="P168" i="8" s="1"/>
  <c r="O167" i="8"/>
  <c r="P167" i="8" s="1"/>
  <c r="O166" i="8"/>
  <c r="P166" i="8" s="1"/>
  <c r="O165" i="8"/>
  <c r="P165" i="8" s="1"/>
  <c r="O164" i="8"/>
  <c r="P164" i="8" s="1"/>
  <c r="O163" i="8"/>
  <c r="P163" i="8" s="1"/>
  <c r="O162" i="8"/>
  <c r="P162" i="8" s="1"/>
  <c r="O161" i="8"/>
  <c r="P161" i="8" s="1"/>
  <c r="O160" i="8"/>
  <c r="P160" i="8" s="1"/>
  <c r="O159" i="8"/>
  <c r="P159" i="8" s="1"/>
  <c r="O158" i="8"/>
  <c r="P158" i="8" s="1"/>
  <c r="O157" i="8"/>
  <c r="P157" i="8" s="1"/>
  <c r="O156" i="8"/>
  <c r="P156" i="8" s="1"/>
  <c r="O155" i="8"/>
  <c r="P155" i="8" s="1"/>
  <c r="O154" i="8"/>
  <c r="P154" i="8" s="1"/>
  <c r="O153" i="8"/>
  <c r="P153" i="8" s="1"/>
  <c r="O152" i="8"/>
  <c r="P152" i="8" s="1"/>
  <c r="O151" i="8"/>
  <c r="P151" i="8" s="1"/>
  <c r="O150" i="8"/>
  <c r="P150" i="8" s="1"/>
  <c r="O149" i="8"/>
  <c r="P149" i="8" s="1"/>
  <c r="O148" i="8"/>
  <c r="P148" i="8" s="1"/>
  <c r="O147" i="8"/>
  <c r="P147" i="8" s="1"/>
  <c r="O146" i="8"/>
  <c r="P146" i="8" s="1"/>
  <c r="O145" i="8"/>
  <c r="P145" i="8" s="1"/>
  <c r="O144" i="8"/>
  <c r="P144" i="8" s="1"/>
  <c r="O143" i="8"/>
  <c r="P143" i="8" s="1"/>
  <c r="O142" i="8"/>
  <c r="P142" i="8" s="1"/>
  <c r="O141" i="8"/>
  <c r="P141" i="8" s="1"/>
  <c r="O140" i="8"/>
  <c r="P140" i="8" s="1"/>
  <c r="O139" i="8"/>
  <c r="P139" i="8" s="1"/>
  <c r="O138" i="8"/>
  <c r="P138" i="8" s="1"/>
  <c r="O137" i="8"/>
  <c r="P137" i="8" s="1"/>
  <c r="O136" i="8"/>
  <c r="P136" i="8" s="1"/>
  <c r="O135" i="8"/>
  <c r="P135" i="8" s="1"/>
  <c r="O134" i="8"/>
  <c r="P134" i="8" s="1"/>
  <c r="O133" i="8"/>
  <c r="P133" i="8" s="1"/>
  <c r="O132" i="8"/>
  <c r="P132" i="8" s="1"/>
  <c r="O131" i="8"/>
  <c r="P131" i="8" s="1"/>
  <c r="O130" i="8"/>
  <c r="P130" i="8" s="1"/>
  <c r="O129" i="8"/>
  <c r="P129" i="8" s="1"/>
  <c r="O128" i="8"/>
  <c r="P128" i="8" s="1"/>
  <c r="O127" i="8"/>
  <c r="P127" i="8" s="1"/>
  <c r="O126" i="8"/>
  <c r="P126" i="8" s="1"/>
  <c r="O125" i="8"/>
  <c r="P125" i="8" s="1"/>
  <c r="O124" i="8"/>
  <c r="P124" i="8" s="1"/>
  <c r="O123" i="8"/>
  <c r="P123" i="8" s="1"/>
  <c r="O122" i="8"/>
  <c r="P122" i="8" s="1"/>
  <c r="O121" i="8"/>
  <c r="P121" i="8" s="1"/>
  <c r="O120" i="8"/>
  <c r="P120" i="8" s="1"/>
  <c r="O119" i="8"/>
  <c r="P119" i="8" s="1"/>
  <c r="O118" i="8"/>
  <c r="P118" i="8" s="1"/>
  <c r="O117" i="8"/>
  <c r="P117" i="8" s="1"/>
  <c r="O116" i="8"/>
  <c r="P116" i="8" s="1"/>
  <c r="O115" i="8"/>
  <c r="P115" i="8" s="1"/>
  <c r="O114" i="8"/>
  <c r="P114" i="8" s="1"/>
  <c r="O113" i="8"/>
  <c r="P113" i="8" s="1"/>
  <c r="O112" i="8"/>
  <c r="P112" i="8" s="1"/>
  <c r="O111" i="8"/>
  <c r="P111" i="8" s="1"/>
  <c r="O110" i="8"/>
  <c r="P110" i="8" s="1"/>
  <c r="O109" i="8"/>
  <c r="P109" i="8" s="1"/>
  <c r="O108" i="8"/>
  <c r="P108" i="8" s="1"/>
  <c r="O107" i="8"/>
  <c r="P107" i="8" s="1"/>
  <c r="O106" i="8"/>
  <c r="P106" i="8" s="1"/>
  <c r="O105" i="8"/>
  <c r="P105" i="8" s="1"/>
  <c r="O104" i="8"/>
  <c r="P104" i="8" s="1"/>
  <c r="O103" i="8"/>
  <c r="P103" i="8" s="1"/>
  <c r="O102" i="8"/>
  <c r="P102" i="8" s="1"/>
  <c r="O101" i="8"/>
  <c r="P101" i="8" s="1"/>
  <c r="O100" i="8"/>
  <c r="P100" i="8" s="1"/>
  <c r="O99" i="8"/>
  <c r="P99" i="8" s="1"/>
  <c r="O98" i="8"/>
  <c r="P98" i="8" s="1"/>
  <c r="O97" i="8"/>
  <c r="P97" i="8" s="1"/>
  <c r="O96" i="8"/>
  <c r="P96" i="8" s="1"/>
  <c r="O95" i="8"/>
  <c r="P95" i="8" s="1"/>
  <c r="O94" i="8"/>
  <c r="P94" i="8" s="1"/>
  <c r="O93" i="8"/>
  <c r="P93" i="8" s="1"/>
  <c r="O92" i="8"/>
  <c r="P92" i="8" s="1"/>
  <c r="O91" i="8"/>
  <c r="P91" i="8" s="1"/>
  <c r="O90" i="8"/>
  <c r="P90" i="8" s="1"/>
  <c r="O89" i="8"/>
  <c r="P89" i="8" s="1"/>
  <c r="O88" i="8"/>
  <c r="P88" i="8" s="1"/>
  <c r="O87" i="8"/>
  <c r="P87" i="8" s="1"/>
  <c r="O86" i="8"/>
  <c r="P86" i="8" s="1"/>
  <c r="O85" i="8"/>
  <c r="P85" i="8" s="1"/>
  <c r="O84" i="8"/>
  <c r="P84" i="8" s="1"/>
  <c r="O83" i="8"/>
  <c r="P83" i="8" s="1"/>
  <c r="O82" i="8"/>
  <c r="P82" i="8" s="1"/>
  <c r="O81" i="8"/>
  <c r="P81" i="8" s="1"/>
  <c r="O80" i="8"/>
  <c r="P80" i="8" s="1"/>
  <c r="O79" i="8"/>
  <c r="P79" i="8" s="1"/>
  <c r="O78" i="8"/>
  <c r="P78" i="8" s="1"/>
  <c r="O77" i="8"/>
  <c r="P77" i="8" s="1"/>
  <c r="O76" i="8"/>
  <c r="P76" i="8" s="1"/>
  <c r="O75" i="8"/>
  <c r="P75" i="8" s="1"/>
  <c r="O74" i="8"/>
  <c r="P74" i="8" s="1"/>
  <c r="O73" i="8"/>
  <c r="P73" i="8" s="1"/>
  <c r="O72" i="8"/>
  <c r="P72" i="8" s="1"/>
  <c r="O71" i="8"/>
  <c r="P71" i="8" s="1"/>
  <c r="O70" i="8"/>
  <c r="P70" i="8" s="1"/>
  <c r="O69" i="8"/>
  <c r="P69" i="8" s="1"/>
  <c r="O68" i="8"/>
  <c r="P68" i="8" s="1"/>
  <c r="O67" i="8"/>
  <c r="P67" i="8" s="1"/>
  <c r="O66" i="8"/>
  <c r="P66" i="8" s="1"/>
  <c r="O65" i="8"/>
  <c r="P65" i="8" s="1"/>
  <c r="O64" i="8"/>
  <c r="P64" i="8" s="1"/>
  <c r="O63" i="8"/>
  <c r="P63" i="8" s="1"/>
  <c r="O62" i="8"/>
  <c r="P62" i="8" s="1"/>
  <c r="O61" i="8"/>
  <c r="P61" i="8" s="1"/>
  <c r="O60" i="8"/>
  <c r="P60" i="8" s="1"/>
  <c r="O59" i="8"/>
  <c r="P59" i="8" s="1"/>
  <c r="O58" i="8"/>
  <c r="P58" i="8" s="1"/>
  <c r="O57" i="8"/>
  <c r="P57" i="8" s="1"/>
  <c r="O56" i="8"/>
  <c r="P56" i="8" s="1"/>
  <c r="O55" i="8"/>
  <c r="P55" i="8" s="1"/>
  <c r="O54" i="8"/>
  <c r="P54" i="8" s="1"/>
  <c r="O53" i="8"/>
  <c r="P53" i="8" s="1"/>
  <c r="O52" i="8"/>
  <c r="P52" i="8" s="1"/>
  <c r="O51" i="8"/>
  <c r="P51" i="8" s="1"/>
  <c r="O50" i="8"/>
  <c r="P50" i="8" s="1"/>
  <c r="O49" i="8"/>
  <c r="P49" i="8" s="1"/>
  <c r="O48" i="8"/>
  <c r="P48" i="8" s="1"/>
  <c r="O47" i="8"/>
  <c r="P47" i="8" s="1"/>
  <c r="O46" i="8"/>
  <c r="P46" i="8" s="1"/>
  <c r="O45" i="8"/>
  <c r="P45" i="8" s="1"/>
  <c r="O44" i="8"/>
  <c r="P44" i="8" s="1"/>
  <c r="O43" i="8"/>
  <c r="P43" i="8" s="1"/>
  <c r="O42" i="8"/>
  <c r="P42" i="8" s="1"/>
  <c r="O41" i="8"/>
  <c r="P41" i="8" s="1"/>
  <c r="O40" i="8"/>
  <c r="P40" i="8" s="1"/>
  <c r="O39" i="8"/>
  <c r="P39" i="8" s="1"/>
  <c r="O38" i="8"/>
  <c r="P38" i="8" s="1"/>
  <c r="O37" i="8"/>
  <c r="P37" i="8" s="1"/>
  <c r="O36" i="8"/>
  <c r="P36" i="8" s="1"/>
  <c r="O35" i="8"/>
  <c r="P35" i="8" s="1"/>
  <c r="O34" i="8"/>
  <c r="P34" i="8" s="1"/>
  <c r="O33" i="8"/>
  <c r="P33" i="8" s="1"/>
  <c r="O32" i="8"/>
  <c r="P32" i="8" s="1"/>
  <c r="O31" i="8"/>
  <c r="P31" i="8" s="1"/>
  <c r="O30" i="8"/>
  <c r="P30" i="8" s="1"/>
  <c r="O29" i="8"/>
  <c r="P29" i="8" s="1"/>
  <c r="O28" i="8"/>
  <c r="P28" i="8" s="1"/>
  <c r="O27" i="8"/>
  <c r="P27" i="8" s="1"/>
  <c r="O26" i="8"/>
  <c r="P26" i="8" s="1"/>
  <c r="O25" i="8"/>
  <c r="P25" i="8" s="1"/>
  <c r="O24" i="8"/>
  <c r="P24" i="8" s="1"/>
  <c r="O23" i="8"/>
  <c r="P23" i="8" s="1"/>
  <c r="O22" i="8"/>
  <c r="P22" i="8" s="1"/>
  <c r="O21" i="8"/>
  <c r="P21" i="8" s="1"/>
  <c r="O20" i="8"/>
  <c r="P20" i="8" s="1"/>
  <c r="O19" i="8"/>
  <c r="P19" i="8" s="1"/>
  <c r="O18" i="8"/>
  <c r="P18" i="8" s="1"/>
  <c r="O17" i="8"/>
  <c r="P17" i="8" s="1"/>
  <c r="O16" i="8"/>
  <c r="P16" i="8" s="1"/>
  <c r="O15" i="8"/>
  <c r="P15" i="8" s="1"/>
  <c r="O14" i="8"/>
  <c r="P14" i="8" s="1"/>
  <c r="O13" i="8"/>
  <c r="P13" i="8" s="1"/>
  <c r="O12" i="8"/>
  <c r="P12" i="8" s="1"/>
  <c r="O11" i="8"/>
  <c r="P11" i="8" s="1"/>
  <c r="O10" i="8"/>
  <c r="P10" i="8" s="1"/>
  <c r="O9" i="8"/>
  <c r="P9" i="8" s="1"/>
  <c r="O8" i="8"/>
  <c r="P8" i="8" s="1"/>
  <c r="O7" i="8"/>
  <c r="P7" i="8" s="1"/>
  <c r="O6" i="8"/>
  <c r="P6" i="8" s="1"/>
  <c r="F50" i="7"/>
  <c r="E50" i="7"/>
  <c r="D50" i="7"/>
  <c r="C50" i="7"/>
  <c r="B50" i="7"/>
  <c r="F49" i="7"/>
  <c r="E49" i="7"/>
  <c r="D49" i="7"/>
  <c r="C49" i="7"/>
  <c r="B49" i="7"/>
  <c r="F48" i="7"/>
  <c r="E48" i="7"/>
  <c r="D48" i="7"/>
  <c r="C48" i="7"/>
  <c r="B48" i="7"/>
  <c r="F47" i="7"/>
  <c r="E47" i="7"/>
  <c r="D47" i="7"/>
  <c r="C47" i="7"/>
  <c r="B47" i="7"/>
  <c r="F46" i="7"/>
  <c r="E46" i="7"/>
  <c r="D46" i="7"/>
  <c r="C46" i="7"/>
  <c r="B46" i="7"/>
  <c r="F45" i="7"/>
  <c r="E45" i="7"/>
  <c r="D45" i="7"/>
  <c r="C45" i="7"/>
  <c r="B45" i="7"/>
  <c r="A27" i="7"/>
  <c r="A15" i="7"/>
  <c r="AB9" i="7"/>
  <c r="AB8" i="7"/>
  <c r="AB7" i="7"/>
  <c r="N8" i="7" s="1"/>
  <c r="AB6" i="7"/>
  <c r="K8" i="7" s="1"/>
  <c r="AB5" i="7"/>
  <c r="H5" i="7"/>
  <c r="E5" i="7"/>
  <c r="AB4" i="7"/>
  <c r="H8" i="7" s="1"/>
  <c r="AB3" i="7"/>
  <c r="E8" i="7" s="1"/>
  <c r="AB2" i="7"/>
  <c r="B8" i="7" s="1"/>
  <c r="W230" i="3"/>
  <c r="I230" i="3"/>
  <c r="F230" i="3"/>
  <c r="W229" i="3"/>
  <c r="I229" i="3"/>
  <c r="F229" i="3"/>
  <c r="W228" i="3"/>
  <c r="I228" i="3"/>
  <c r="F228" i="3"/>
  <c r="W227" i="3"/>
  <c r="I227" i="3"/>
  <c r="F227" i="3"/>
  <c r="W226" i="3"/>
  <c r="I226" i="3"/>
  <c r="F226" i="3"/>
  <c r="W225" i="3"/>
  <c r="I225" i="3"/>
  <c r="F225" i="3"/>
  <c r="W224" i="3"/>
  <c r="I224" i="3"/>
  <c r="F224" i="3"/>
  <c r="W223" i="3"/>
  <c r="I223" i="3"/>
  <c r="F223" i="3"/>
  <c r="W222" i="3"/>
  <c r="I222" i="3"/>
  <c r="F222" i="3"/>
  <c r="W221" i="3"/>
  <c r="I221" i="3"/>
  <c r="F221" i="3"/>
  <c r="W220" i="3"/>
  <c r="I220" i="3"/>
  <c r="F220" i="3"/>
  <c r="W219" i="3"/>
  <c r="I219" i="3"/>
  <c r="F219" i="3"/>
  <c r="W218" i="3"/>
  <c r="I218" i="3"/>
  <c r="F218" i="3"/>
  <c r="W217" i="3"/>
  <c r="I217" i="3"/>
  <c r="F217" i="3"/>
  <c r="W216" i="3"/>
  <c r="I216" i="3"/>
  <c r="F216" i="3"/>
  <c r="W215" i="3"/>
  <c r="I215" i="3"/>
  <c r="F215" i="3"/>
  <c r="W214" i="3"/>
  <c r="I214" i="3"/>
  <c r="F214" i="3"/>
  <c r="W213" i="3"/>
  <c r="I213" i="3"/>
  <c r="F213" i="3"/>
  <c r="W212" i="3"/>
  <c r="I212" i="3"/>
  <c r="F212" i="3"/>
  <c r="W211" i="3"/>
  <c r="I211" i="3"/>
  <c r="F211" i="3"/>
  <c r="W210" i="3"/>
  <c r="I210" i="3"/>
  <c r="F210" i="3"/>
  <c r="W209" i="3"/>
  <c r="I209" i="3"/>
  <c r="F209" i="3"/>
  <c r="W208" i="3"/>
  <c r="I208" i="3"/>
  <c r="F208" i="3"/>
  <c r="W207" i="3"/>
  <c r="I207" i="3"/>
  <c r="F207" i="3"/>
  <c r="W206" i="3"/>
  <c r="I206" i="3"/>
  <c r="F206" i="3"/>
  <c r="W205" i="3"/>
  <c r="I205" i="3"/>
  <c r="F205" i="3"/>
  <c r="W204" i="3"/>
  <c r="I204" i="3"/>
  <c r="F204" i="3"/>
  <c r="W203" i="3"/>
  <c r="I203" i="3"/>
  <c r="F203" i="3"/>
  <c r="W202" i="3"/>
  <c r="I202" i="3"/>
  <c r="F202" i="3"/>
  <c r="W201" i="3"/>
  <c r="I201" i="3"/>
  <c r="F201" i="3"/>
  <c r="W200" i="3"/>
  <c r="I200" i="3"/>
  <c r="F200" i="3"/>
  <c r="W199" i="3"/>
  <c r="I199" i="3"/>
  <c r="F199" i="3"/>
  <c r="W198" i="3"/>
  <c r="I198" i="3"/>
  <c r="F198" i="3"/>
  <c r="W197" i="3"/>
  <c r="I197" i="3"/>
  <c r="F197" i="3"/>
  <c r="W196" i="3"/>
  <c r="I196" i="3"/>
  <c r="F196" i="3"/>
  <c r="W195" i="3"/>
  <c r="I195" i="3"/>
  <c r="F195" i="3"/>
  <c r="W194" i="3"/>
  <c r="I194" i="3"/>
  <c r="F194" i="3"/>
  <c r="W193" i="3"/>
  <c r="I193" i="3"/>
  <c r="F193" i="3"/>
  <c r="W192" i="3"/>
  <c r="I192" i="3"/>
  <c r="F192" i="3"/>
  <c r="W191" i="3"/>
  <c r="I191" i="3"/>
  <c r="F191" i="3"/>
  <c r="W190" i="3"/>
  <c r="I190" i="3"/>
  <c r="F190" i="3"/>
  <c r="W189" i="3"/>
  <c r="I189" i="3"/>
  <c r="F189" i="3"/>
  <c r="W188" i="3"/>
  <c r="I188" i="3"/>
  <c r="F188" i="3"/>
  <c r="W187" i="3"/>
  <c r="I187" i="3"/>
  <c r="F187" i="3"/>
  <c r="W186" i="3"/>
  <c r="I186" i="3"/>
  <c r="F186" i="3"/>
  <c r="W185" i="3"/>
  <c r="I185" i="3"/>
  <c r="F185" i="3"/>
  <c r="W184" i="3"/>
  <c r="I184" i="3"/>
  <c r="F184" i="3"/>
  <c r="W183" i="3"/>
  <c r="I183" i="3"/>
  <c r="F183" i="3"/>
  <c r="W182" i="3"/>
  <c r="I182" i="3"/>
  <c r="F182" i="3"/>
  <c r="W181" i="3"/>
  <c r="I181" i="3"/>
  <c r="F181" i="3"/>
  <c r="W180" i="3"/>
  <c r="I180" i="3"/>
  <c r="F180" i="3"/>
  <c r="W179" i="3"/>
  <c r="I179" i="3"/>
  <c r="F179" i="3"/>
  <c r="W178" i="3"/>
  <c r="I178" i="3"/>
  <c r="F178" i="3"/>
  <c r="W177" i="3"/>
  <c r="I177" i="3"/>
  <c r="F177" i="3"/>
  <c r="W176" i="3"/>
  <c r="I176" i="3"/>
  <c r="F176" i="3"/>
  <c r="W175" i="3"/>
  <c r="I175" i="3"/>
  <c r="F175" i="3"/>
  <c r="W174" i="3"/>
  <c r="I174" i="3"/>
  <c r="F174" i="3"/>
  <c r="W173" i="3"/>
  <c r="I173" i="3"/>
  <c r="F173" i="3"/>
  <c r="W172" i="3"/>
  <c r="I172" i="3"/>
  <c r="F172" i="3"/>
  <c r="W171" i="3"/>
  <c r="I171" i="3"/>
  <c r="F171" i="3"/>
  <c r="W170" i="3"/>
  <c r="I170" i="3"/>
  <c r="F170" i="3"/>
  <c r="W169" i="3"/>
  <c r="I169" i="3"/>
  <c r="F169" i="3"/>
  <c r="W168" i="3"/>
  <c r="I168" i="3"/>
  <c r="F168" i="3"/>
  <c r="W167" i="3"/>
  <c r="I167" i="3"/>
  <c r="F167" i="3"/>
  <c r="W166" i="3"/>
  <c r="I166" i="3"/>
  <c r="F166" i="3"/>
  <c r="W165" i="3"/>
  <c r="I165" i="3"/>
  <c r="F165" i="3"/>
  <c r="W164" i="3"/>
  <c r="I164" i="3"/>
  <c r="F164" i="3"/>
  <c r="W163" i="3"/>
  <c r="I163" i="3"/>
  <c r="F163" i="3"/>
  <c r="W162" i="3"/>
  <c r="I162" i="3"/>
  <c r="F162" i="3"/>
  <c r="W161" i="3"/>
  <c r="I161" i="3"/>
  <c r="F161" i="3"/>
  <c r="W160" i="3"/>
  <c r="I160" i="3"/>
  <c r="F160" i="3"/>
  <c r="W159" i="3"/>
  <c r="I159" i="3"/>
  <c r="F159" i="3"/>
  <c r="W158" i="3"/>
  <c r="I158" i="3"/>
  <c r="F158" i="3"/>
  <c r="W157" i="3"/>
  <c r="I157" i="3"/>
  <c r="F157" i="3"/>
  <c r="W156" i="3"/>
  <c r="I156" i="3"/>
  <c r="F156" i="3"/>
  <c r="W155" i="3"/>
  <c r="I155" i="3"/>
  <c r="F155" i="3"/>
  <c r="W154" i="3"/>
  <c r="I154" i="3"/>
  <c r="F154" i="3"/>
  <c r="W153" i="3"/>
  <c r="I153" i="3"/>
  <c r="F153" i="3"/>
  <c r="W152" i="3"/>
  <c r="I152" i="3"/>
  <c r="F152" i="3"/>
  <c r="W151" i="3"/>
  <c r="I151" i="3"/>
  <c r="F151" i="3"/>
  <c r="I150" i="3"/>
  <c r="F150" i="3"/>
  <c r="I149" i="3"/>
  <c r="F149" i="3"/>
  <c r="I148" i="3"/>
  <c r="F148" i="3"/>
  <c r="I147" i="3"/>
  <c r="F147" i="3"/>
  <c r="I146" i="3"/>
  <c r="F146" i="3"/>
  <c r="I145" i="3"/>
  <c r="F145" i="3"/>
  <c r="I144" i="3"/>
  <c r="F144" i="3"/>
  <c r="I143" i="3"/>
  <c r="F143" i="3"/>
  <c r="I142" i="3"/>
  <c r="F142" i="3"/>
  <c r="I141" i="3"/>
  <c r="F141" i="3"/>
  <c r="I140" i="3"/>
  <c r="F140" i="3"/>
  <c r="I139" i="3"/>
  <c r="F139" i="3"/>
  <c r="I138" i="3"/>
  <c r="F138" i="3"/>
  <c r="I137" i="3"/>
  <c r="F137" i="3"/>
  <c r="I136" i="3"/>
  <c r="F136" i="3"/>
  <c r="I135" i="3"/>
  <c r="F135" i="3"/>
  <c r="I134" i="3"/>
  <c r="F134" i="3"/>
  <c r="I133" i="3"/>
  <c r="F133" i="3"/>
  <c r="I132" i="3"/>
  <c r="F132" i="3"/>
  <c r="I131" i="3"/>
  <c r="F131" i="3"/>
  <c r="I130" i="3"/>
  <c r="F130" i="3"/>
  <c r="I129" i="3"/>
  <c r="F129" i="3"/>
  <c r="I128" i="3"/>
  <c r="F128" i="3"/>
  <c r="I127" i="3"/>
  <c r="F127" i="3"/>
  <c r="I126" i="3"/>
  <c r="F126" i="3"/>
  <c r="I125" i="3"/>
  <c r="F125" i="3"/>
  <c r="I124" i="3"/>
  <c r="F124" i="3"/>
  <c r="I123" i="3"/>
  <c r="F123" i="3"/>
  <c r="I122" i="3"/>
  <c r="F122" i="3"/>
  <c r="I121" i="3"/>
  <c r="F121" i="3"/>
  <c r="I120" i="3"/>
  <c r="F120" i="3"/>
  <c r="I119" i="3"/>
  <c r="F119" i="3"/>
  <c r="I118" i="3"/>
  <c r="F118" i="3"/>
  <c r="I117" i="3"/>
  <c r="F117" i="3"/>
  <c r="I116" i="3"/>
  <c r="F116" i="3"/>
  <c r="I115" i="3"/>
  <c r="F115" i="3"/>
  <c r="I114" i="3"/>
  <c r="F114" i="3"/>
  <c r="I113" i="3"/>
  <c r="F113" i="3"/>
  <c r="I112" i="3"/>
  <c r="F112" i="3"/>
  <c r="I111" i="3"/>
  <c r="F111" i="3"/>
  <c r="I110" i="3"/>
  <c r="F110" i="3"/>
  <c r="I109" i="3"/>
  <c r="F109" i="3"/>
  <c r="I108" i="3"/>
  <c r="F108" i="3"/>
  <c r="I107" i="3"/>
  <c r="F107" i="3"/>
  <c r="I106" i="3"/>
  <c r="F106" i="3"/>
  <c r="I105" i="3"/>
  <c r="F105" i="3"/>
  <c r="I104" i="3"/>
  <c r="F104" i="3"/>
  <c r="I103" i="3"/>
  <c r="F103" i="3"/>
  <c r="I102" i="3"/>
  <c r="F102" i="3"/>
  <c r="I101" i="3"/>
  <c r="F101" i="3"/>
  <c r="I100" i="3"/>
  <c r="F100" i="3"/>
  <c r="I99" i="3"/>
  <c r="F99" i="3"/>
  <c r="I98" i="3"/>
  <c r="F98" i="3"/>
  <c r="I97" i="3"/>
  <c r="F97" i="3"/>
  <c r="I96" i="3"/>
  <c r="F96" i="3"/>
  <c r="I95" i="3"/>
  <c r="F95" i="3"/>
  <c r="I94" i="3"/>
  <c r="F94" i="3"/>
  <c r="I93" i="3"/>
  <c r="F93" i="3"/>
  <c r="I92" i="3"/>
  <c r="F92" i="3"/>
  <c r="I91" i="3"/>
  <c r="F91" i="3"/>
  <c r="I90" i="3"/>
  <c r="F90" i="3"/>
  <c r="I89" i="3"/>
  <c r="F89" i="3"/>
  <c r="I88" i="3"/>
  <c r="F88" i="3"/>
  <c r="I87" i="3"/>
  <c r="F87" i="3"/>
  <c r="I86" i="3"/>
  <c r="F86" i="3"/>
  <c r="I85" i="3"/>
  <c r="F85" i="3"/>
  <c r="I84" i="3"/>
  <c r="F84" i="3"/>
  <c r="I83" i="3"/>
  <c r="F83" i="3"/>
  <c r="I82" i="3"/>
  <c r="F82" i="3"/>
  <c r="I81" i="3"/>
  <c r="F81" i="3"/>
  <c r="W80" i="3"/>
  <c r="I80" i="3"/>
  <c r="F80" i="3"/>
  <c r="W79" i="3"/>
  <c r="I79" i="3"/>
  <c r="F79" i="3"/>
  <c r="W78" i="3"/>
  <c r="I78" i="3"/>
  <c r="F78" i="3"/>
  <c r="W77" i="3"/>
  <c r="I77" i="3"/>
  <c r="F77" i="3"/>
  <c r="W76" i="3"/>
  <c r="I76" i="3"/>
  <c r="F76" i="3"/>
  <c r="W75" i="3"/>
  <c r="I75" i="3"/>
  <c r="F75" i="3"/>
  <c r="W74" i="3"/>
  <c r="I74" i="3"/>
  <c r="F74" i="3"/>
  <c r="W73" i="3"/>
  <c r="I73" i="3"/>
  <c r="F73" i="3"/>
  <c r="W72" i="3"/>
  <c r="I72" i="3"/>
  <c r="F72" i="3"/>
  <c r="W71" i="3"/>
  <c r="I71" i="3"/>
  <c r="F71" i="3"/>
  <c r="W70" i="3"/>
  <c r="I70" i="3"/>
  <c r="F70" i="3"/>
  <c r="W69" i="3"/>
  <c r="I69" i="3"/>
  <c r="F69" i="3"/>
  <c r="W68" i="3"/>
  <c r="I68" i="3"/>
  <c r="F68" i="3"/>
  <c r="W67" i="3"/>
  <c r="I67" i="3"/>
  <c r="F67" i="3"/>
  <c r="W66" i="3"/>
  <c r="I66" i="3"/>
  <c r="F66" i="3"/>
  <c r="W65" i="3"/>
  <c r="I65" i="3"/>
  <c r="F65" i="3"/>
  <c r="W64" i="3"/>
  <c r="I64" i="3"/>
  <c r="F64" i="3"/>
  <c r="W63" i="3"/>
  <c r="I63" i="3"/>
  <c r="F63" i="3"/>
  <c r="W62" i="3"/>
  <c r="I62" i="3"/>
  <c r="F62" i="3"/>
  <c r="W61" i="3"/>
  <c r="I61" i="3"/>
  <c r="F61" i="3"/>
  <c r="I60" i="3"/>
  <c r="F60" i="3"/>
  <c r="I59" i="3"/>
  <c r="F59" i="3"/>
  <c r="I58" i="3"/>
  <c r="F58" i="3"/>
  <c r="I57" i="3"/>
  <c r="F57" i="3"/>
  <c r="I56" i="3"/>
  <c r="F56" i="3"/>
  <c r="I55" i="3"/>
  <c r="F55" i="3"/>
  <c r="I54" i="3"/>
  <c r="F54" i="3"/>
  <c r="I53" i="3"/>
  <c r="F53" i="3"/>
  <c r="I52" i="3"/>
  <c r="F52" i="3"/>
  <c r="I51" i="3"/>
  <c r="F51" i="3"/>
  <c r="I50" i="3"/>
  <c r="F50" i="3"/>
  <c r="I49" i="3"/>
  <c r="F49" i="3"/>
  <c r="I48" i="3"/>
  <c r="F48" i="3"/>
  <c r="I47" i="3"/>
  <c r="F47" i="3"/>
  <c r="I46" i="3"/>
  <c r="F46" i="3"/>
  <c r="I45" i="3"/>
  <c r="F45" i="3"/>
  <c r="I44" i="3"/>
  <c r="F44" i="3"/>
  <c r="I43" i="3"/>
  <c r="F43" i="3"/>
  <c r="I42" i="3"/>
  <c r="F42" i="3"/>
  <c r="I41" i="3"/>
  <c r="F41" i="3"/>
  <c r="I40" i="3"/>
  <c r="F40" i="3"/>
  <c r="I39" i="3"/>
  <c r="F39" i="3"/>
  <c r="I38" i="3"/>
  <c r="F38" i="3"/>
  <c r="I37" i="3"/>
  <c r="F37" i="3"/>
  <c r="I36" i="3"/>
  <c r="F36" i="3"/>
  <c r="I35" i="3"/>
  <c r="F35" i="3"/>
  <c r="I34" i="3"/>
  <c r="F34" i="3"/>
  <c r="I33" i="3"/>
  <c r="F33" i="3"/>
  <c r="I32" i="3"/>
  <c r="F32" i="3"/>
  <c r="I31" i="3"/>
  <c r="F31" i="3"/>
  <c r="I30" i="3"/>
  <c r="F30" i="3"/>
  <c r="I29" i="3"/>
  <c r="F29" i="3"/>
  <c r="I28" i="3"/>
  <c r="F28" i="3"/>
  <c r="I27" i="3"/>
  <c r="F27" i="3"/>
  <c r="I26" i="3"/>
  <c r="F26" i="3"/>
  <c r="I25" i="3"/>
  <c r="F25" i="3"/>
  <c r="I24" i="3"/>
  <c r="F24" i="3"/>
  <c r="I23" i="3"/>
  <c r="F23" i="3"/>
  <c r="I22" i="3"/>
  <c r="F22" i="3"/>
  <c r="I21" i="3"/>
  <c r="F21" i="3"/>
  <c r="W20" i="3"/>
  <c r="I20" i="3"/>
  <c r="F20" i="3"/>
  <c r="W19" i="3"/>
  <c r="I19" i="3"/>
  <c r="F19" i="3"/>
  <c r="W18" i="3"/>
  <c r="I18" i="3"/>
  <c r="F18" i="3"/>
  <c r="W17" i="3"/>
  <c r="I17" i="3"/>
  <c r="F17" i="3"/>
  <c r="W16" i="3"/>
  <c r="I16" i="3"/>
  <c r="F16" i="3"/>
  <c r="W15" i="3"/>
  <c r="I15" i="3"/>
  <c r="F15" i="3"/>
  <c r="W14" i="3"/>
  <c r="I14" i="3"/>
  <c r="F14" i="3"/>
  <c r="W13" i="3"/>
  <c r="I13" i="3"/>
  <c r="F13" i="3"/>
  <c r="W12" i="3"/>
  <c r="I12" i="3"/>
  <c r="F12" i="3"/>
  <c r="W11" i="3"/>
  <c r="I11" i="3"/>
  <c r="F11" i="3"/>
  <c r="W10" i="3"/>
  <c r="I10" i="3"/>
  <c r="F10" i="3"/>
  <c r="W9" i="3"/>
  <c r="I9" i="3"/>
  <c r="F9" i="3"/>
  <c r="W8" i="3"/>
  <c r="I8" i="3"/>
  <c r="F8" i="3"/>
  <c r="W7" i="3"/>
  <c r="I7" i="3"/>
  <c r="F7" i="3"/>
  <c r="W6" i="3"/>
  <c r="I6" i="3"/>
  <c r="F6" i="3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AB7" i="2"/>
  <c r="N6" i="2" s="1"/>
  <c r="AB6" i="2"/>
  <c r="K6" i="2"/>
  <c r="B6" i="2"/>
  <c r="AB5" i="2"/>
  <c r="AB4" i="2"/>
  <c r="H6" i="2" s="1"/>
  <c r="AB3" i="2"/>
  <c r="E6" i="2" s="1"/>
  <c r="AB2" i="2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N13" i="1"/>
  <c r="M13" i="1"/>
  <c r="L13" i="1"/>
  <c r="K13" i="1"/>
  <c r="J13" i="1"/>
  <c r="I13" i="1"/>
  <c r="H13" i="1"/>
  <c r="F13" i="1"/>
  <c r="E13" i="1"/>
  <c r="D13" i="1"/>
  <c r="C13" i="1"/>
  <c r="B13" i="1"/>
  <c r="A13" i="1"/>
  <c r="AB11" i="1"/>
  <c r="H8" i="1" s="1"/>
  <c r="AB10" i="1"/>
  <c r="AH8" i="1"/>
  <c r="AB8" i="1"/>
  <c r="E21" i="1" s="1"/>
  <c r="K8" i="1"/>
  <c r="AH7" i="1"/>
  <c r="AE7" i="1"/>
  <c r="AB7" i="1"/>
  <c r="D21" i="1" s="1"/>
  <c r="AH6" i="1"/>
  <c r="AE6" i="1"/>
  <c r="AB6" i="1"/>
  <c r="C21" i="1" s="1"/>
  <c r="AH5" i="1"/>
  <c r="AE5" i="1"/>
  <c r="AB5" i="1"/>
  <c r="B21" i="1" s="1"/>
  <c r="AH4" i="1"/>
  <c r="AE4" i="1"/>
  <c r="AB4" i="1"/>
  <c r="A21" i="1" s="1"/>
  <c r="AH3" i="1"/>
  <c r="AE3" i="1"/>
  <c r="AB3" i="1"/>
  <c r="E8" i="1" s="1"/>
  <c r="AH2" i="1"/>
  <c r="AE2" i="1"/>
  <c r="AB2" i="1"/>
  <c r="B8" i="1" s="1"/>
  <c r="AB9" i="1" l="1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P5" i="19"/>
  <c r="J5" i="19"/>
  <c r="P6" i="19"/>
  <c r="J6" i="19"/>
  <c r="M19" i="16" s="1"/>
  <c r="P7" i="19"/>
  <c r="J7" i="19"/>
  <c r="M20" i="16" s="1"/>
  <c r="P8" i="19"/>
  <c r="J8" i="19"/>
  <c r="M21" i="16" s="1"/>
  <c r="P9" i="19"/>
  <c r="J9" i="19"/>
  <c r="M22" i="16" s="1"/>
  <c r="P10" i="19"/>
  <c r="J10" i="19"/>
  <c r="M23" i="16" s="1"/>
  <c r="AB11" i="16" l="1"/>
  <c r="M18" i="16"/>
  <c r="AB10" i="16"/>
  <c r="K11" i="16" s="1"/>
  <c r="AB9" i="16"/>
  <c r="F21" i="1"/>
  <c r="N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H4" authorId="0" shapeId="0" xr:uid="{00000000-0006-0000-0000-000001000000}">
      <text>
        <r>
          <rPr>
            <sz val="10"/>
            <rFont val="Arial"/>
            <family val="2"/>
          </rPr>
          <t>Use LIS export as official learner data source. Local workbook is for school-based analytics and submission monitoring.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O5" authorId="0" shapeId="0" xr:uid="{00000000-0006-0000-0700-000001000000}">
      <text>
        <r>
          <rPr>
            <sz val="10"/>
            <rFont val="Arial"/>
            <family val="2"/>
          </rPr>
          <t>MPS is calculated as RawScore / TotalItems. Extracted file rows should still include RawScore and TotalItems.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L4" authorId="0" shapeId="0" xr:uid="{00000000-0006-0000-0800-000001000000}">
      <text>
        <r>
          <rPr>
            <sz val="10"/>
            <rFont val="Arial"/>
            <family val="2"/>
          </rPr>
          <t>MPS formula: MeanScore / TotalItems.</t>
        </r>
      </text>
    </comment>
    <comment ref="R4" authorId="0" shapeId="0" xr:uid="{00000000-0006-0000-0800-000002000000}">
      <text>
        <r>
          <rPr>
            <sz val="10"/>
            <rFont val="Arial"/>
            <family val="2"/>
          </rPr>
          <t>Map the Microsoft Forms file upload link or secure SharePoint file link here. Dashboard can use HYPERLINK() to open the uploaded file.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K1" authorId="0" shapeId="0" xr:uid="{00000000-0006-0000-1300-000001000000}">
      <text>
        <r>
          <rPr>
            <sz val="10"/>
            <rFont val="Arial"/>
            <family val="2"/>
          </rPr>
          <t>Status is automatically calculated using DateSubmitted, Deadline, and ReviewStatus.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<sst xmlns="http://schemas.openxmlformats.org/spreadsheetml/2006/main" count="5111" uniqueCount="1340">
  <si>
    <t>MAM-ON ELEMENTARY SCHOOL
School-Based Performance Management Dashboard</t>
  </si>
  <si>
    <t>Helper Metric</t>
  </si>
  <si>
    <t>Value</t>
  </si>
  <si>
    <t>Subject</t>
  </si>
  <si>
    <t>MPS</t>
  </si>
  <si>
    <t>Grade</t>
  </si>
  <si>
    <t>AtRisk</t>
  </si>
  <si>
    <t>Total Learners</t>
  </si>
  <si>
    <t>English</t>
  </si>
  <si>
    <t>Kinder</t>
  </si>
  <si>
    <t>Teachers</t>
  </si>
  <si>
    <t>Filipino</t>
  </si>
  <si>
    <t>Grade 1</t>
  </si>
  <si>
    <t>School Year:</t>
  </si>
  <si>
    <t>2026-2027</t>
  </si>
  <si>
    <t>Quarter:</t>
  </si>
  <si>
    <t>1st Quarter</t>
  </si>
  <si>
    <t>Data Source:</t>
  </si>
  <si>
    <t>LIS Export + Excel + Power Automate</t>
  </si>
  <si>
    <t>Last Refresh:</t>
  </si>
  <si>
    <t>2026-07-27 10:40 AM</t>
  </si>
  <si>
    <t>Submitted</t>
  </si>
  <si>
    <t>Mathematics</t>
  </si>
  <si>
    <t>Grade 2</t>
  </si>
  <si>
    <t>Due Soon</t>
  </si>
  <si>
    <t>Science</t>
  </si>
  <si>
    <t>Grade 3</t>
  </si>
  <si>
    <t>👥</t>
  </si>
  <si>
    <t>TOTAL LEARNERS</t>
  </si>
  <si>
    <t>👩‍🏫</t>
  </si>
  <si>
    <t>TEACHERS</t>
  </si>
  <si>
    <t>📊</t>
  </si>
  <si>
    <t>OVERALL MPS</t>
  </si>
  <si>
    <t>⚠️</t>
  </si>
  <si>
    <t>AT-RISK LEARNERS</t>
  </si>
  <si>
    <t>✅</t>
  </si>
  <si>
    <t>SUBMISSION RATE</t>
  </si>
  <si>
    <t>Overdue</t>
  </si>
  <si>
    <t>GMRC</t>
  </si>
  <si>
    <t>Grade 4</t>
  </si>
  <si>
    <t>For Checking</t>
  </si>
  <si>
    <t>Readiness</t>
  </si>
  <si>
    <t>Grade 5</t>
  </si>
  <si>
    <t>Returned</t>
  </si>
  <si>
    <t>Grade 6</t>
  </si>
  <si>
    <t>100% Local Database</t>
  </si>
  <si>
    <t>6 Advisers / Users</t>
  </si>
  <si>
    <t>School Average</t>
  </si>
  <si>
    <t>For Intervention</t>
  </si>
  <si>
    <t>Teacher Compliance</t>
  </si>
  <si>
    <t>Submission Rate</t>
  </si>
  <si>
    <t>At-Risk Learners</t>
  </si>
  <si>
    <t>TEACHER SUBMISSION STATUS PER TEACHER</t>
  </si>
  <si>
    <t>MPS BY GRADE LEVEL</t>
  </si>
  <si>
    <t>Overall MPS</t>
  </si>
  <si>
    <t>Teacher</t>
  </si>
  <si>
    <t>Status</t>
  </si>
  <si>
    <t>Date Submitted</t>
  </si>
  <si>
    <t>Deadline</t>
  </si>
  <si>
    <t>Remarks</t>
  </si>
  <si>
    <t>Target Feeding Days</t>
  </si>
  <si>
    <t>Overall Rate</t>
  </si>
  <si>
    <t>SUBJECT PERFORMANCE</t>
  </si>
  <si>
    <t>AT-RISK LEARNERS BY GRADE</t>
  </si>
  <si>
    <t>TOP COMPETENCIES NEEDING IMPROVEMENT</t>
  </si>
  <si>
    <t>Priority Need</t>
  </si>
  <si>
    <t>Fractions and decimals</t>
  </si>
  <si>
    <t>Multi-step word math</t>
  </si>
  <si>
    <t>Ratio and percentage</t>
  </si>
  <si>
    <t>Reading fluency</t>
  </si>
  <si>
    <t>Letter-sound recognition</t>
  </si>
  <si>
    <t>QUICK ACTIONS
1. Upload latest LIS export to SharePoint/OneDrive folder.
2. Power Automate updates Students and LIS_Sync_Log sheets.
3. Teachers encode scores in Scores sheet or via Power Apps.
4. Submission status updates automatically from DateSubmitted and ReviewStatus.
5. Principal opens Dashboard for live monitoring.</t>
  </si>
  <si>
    <t>RECENT ASSESSMENT SUBMISSIONS FROM TEACHER LINK</t>
  </si>
  <si>
    <t>Date</t>
  </si>
  <si>
    <t>Assessment</t>
  </si>
  <si>
    <t>File</t>
  </si>
  <si>
    <t>NEW MODULES ADDED: Teacher View-Only Dashboard, Learner Scores extraction table, Access Control, View-Only Sharing Guide, and Teacher Template Guide. Teachers should upload Excel files through Microsoft Forms and view updates through the protected Teacher_View_Dashboard or Power BI.</t>
  </si>
  <si>
    <t>Official class sections updated from provided class list: Kinder-KAMAGONG, Grade 1-MAGKONO, Grade 2-NARRA, Grade 3-TOOG, Grade 4-TUGAS, Grade 5-LAUAAN, Grade 6-YAKAL.</t>
  </si>
  <si>
    <t>Student Data Module Added: Use Student_Masterlist for official LIS/enrollment records, Enrollment_Dashboard for class counts, and Student_Data_Instructions for update steps. Placeholder learner names should be replaced with official school data.</t>
  </si>
  <si>
    <t>Student names imported from available MPS/summative files for Grade 1 MAGKONO, Grade 2 NARRA, Grade 4 TUGAS, Grade 5 LAUAAN, and Grade 6 YAKAL. Kinder KAMAGONG and Grade 3 TOOG still require populated learner data. LRN and personal profile fields still require official SF1/LIS verification.</t>
  </si>
  <si>
    <t>STUDENT ENROLLMENT DASHBOARD
Summary of student enrollment by official class section and enrollment status.</t>
  </si>
  <si>
    <t>Metric</t>
  </si>
  <si>
    <t>Total Students</t>
  </si>
  <si>
    <t>Active Students</t>
  </si>
  <si>
    <t>For Verification</t>
  </si>
  <si>
    <t>TOTAL STUDENTS</t>
  </si>
  <si>
    <t>ACTIVE</t>
  </si>
  <si>
    <t>FOR VERIFICATION</t>
  </si>
  <si>
    <t>TRANSFERRED OUT</t>
  </si>
  <si>
    <t>DATA ISSUES</t>
  </si>
  <si>
    <t>Transferred Out</t>
  </si>
  <si>
    <t>Dropped</t>
  </si>
  <si>
    <t>Data Issues</t>
  </si>
  <si>
    <t>All encoded learners</t>
  </si>
  <si>
    <t>Currently enrolled</t>
  </si>
  <si>
    <t>Need LIS checking</t>
  </si>
  <si>
    <t>Status monitoring</t>
  </si>
  <si>
    <t>Missing fields</t>
  </si>
  <si>
    <t>ENROLLMENT BY CLASS SECTION</t>
  </si>
  <si>
    <t>GradeLevel</t>
  </si>
  <si>
    <t>Section</t>
  </si>
  <si>
    <t>Active</t>
  </si>
  <si>
    <t>Total</t>
  </si>
  <si>
    <t>Adviser</t>
  </si>
  <si>
    <t>KAMAGONG</t>
  </si>
  <si>
    <t>Kinder Adviser</t>
  </si>
  <si>
    <t>MAGKONO</t>
  </si>
  <si>
    <t>Jenny Queen L. Orillaneda</t>
  </si>
  <si>
    <t>NARRA</t>
  </si>
  <si>
    <t>Maria Fatima R. Peñanueva</t>
  </si>
  <si>
    <t>TOOG</t>
  </si>
  <si>
    <t>Jessa Mae R. Flores</t>
  </si>
  <si>
    <t>TUGAS</t>
  </si>
  <si>
    <t>Alma C. Nayre</t>
  </si>
  <si>
    <t>LAUAAN</t>
  </si>
  <si>
    <t>Lendon B. Abonales</t>
  </si>
  <si>
    <t>YAKAL</t>
  </si>
  <si>
    <t>Mark Zoilo C. Tajonera</t>
  </si>
  <si>
    <t>STUDENT DATA / ENROLLMENT MASTERLIST
Use this sheet for official learner data from LIS export or manual enrollment updates. Replace placeholder learner names with actual student data.</t>
  </si>
  <si>
    <t>StudentID</t>
  </si>
  <si>
    <t>LRN</t>
  </si>
  <si>
    <t>LastName</t>
  </si>
  <si>
    <t>FirstName</t>
  </si>
  <si>
    <t>MiddleName</t>
  </si>
  <si>
    <t>FullName</t>
  </si>
  <si>
    <t>Sex</t>
  </si>
  <si>
    <t>Birthdate</t>
  </si>
  <si>
    <t>Age</t>
  </si>
  <si>
    <t>SchoolYear</t>
  </si>
  <si>
    <t>EnrollmentStatus</t>
  </si>
  <si>
    <t>DateEnrolled</t>
  </si>
  <si>
    <t>GuardianName</t>
  </si>
  <si>
    <t>GuardianContact</t>
  </si>
  <si>
    <t>Address</t>
  </si>
  <si>
    <t>LIS_Status</t>
  </si>
  <si>
    <t>LastUpdated</t>
  </si>
  <si>
    <t>Source</t>
  </si>
  <si>
    <t>DataCheck</t>
  </si>
  <si>
    <t>LRN-000000000001</t>
  </si>
  <si>
    <t>Learner001</t>
  </si>
  <si>
    <t>Sample</t>
  </si>
  <si>
    <t>For LIS Verification</t>
  </si>
  <si>
    <t>Placeholder / Replace with LIS Export</t>
  </si>
  <si>
    <t>LRN-000000000002</t>
  </si>
  <si>
    <t>Learner002</t>
  </si>
  <si>
    <t>LRN-000000000003</t>
  </si>
  <si>
    <t>Learner003</t>
  </si>
  <si>
    <t>LRN-000000000004</t>
  </si>
  <si>
    <t>Learner004</t>
  </si>
  <si>
    <t>LRN-000000000005</t>
  </si>
  <si>
    <t>Learner005</t>
  </si>
  <si>
    <t>LRN-000000000006</t>
  </si>
  <si>
    <t>Learner006</t>
  </si>
  <si>
    <t>LRN-000000000007</t>
  </si>
  <si>
    <t>Learner007</t>
  </si>
  <si>
    <t>LRN-000000000008</t>
  </si>
  <si>
    <t>Learner008</t>
  </si>
  <si>
    <t>LRN-000000000009</t>
  </si>
  <si>
    <t>Learner009</t>
  </si>
  <si>
    <t>LRN-000000000010</t>
  </si>
  <si>
    <t>Learner010</t>
  </si>
  <si>
    <t>LRN-000000000011</t>
  </si>
  <si>
    <t>Learner011</t>
  </si>
  <si>
    <t>LRN-000000000012</t>
  </si>
  <si>
    <t>Learner012</t>
  </si>
  <si>
    <t>LRN-000000000013</t>
  </si>
  <si>
    <t>Learner013</t>
  </si>
  <si>
    <t>LRN-000000000014</t>
  </si>
  <si>
    <t>Learner014</t>
  </si>
  <si>
    <t>LRN-000000000015</t>
  </si>
  <si>
    <t>Learner015</t>
  </si>
  <si>
    <t>For LRN Verification - Grade 1-131</t>
  </si>
  <si>
    <t>AKABO</t>
  </si>
  <si>
    <t>RONEL F.</t>
  </si>
  <si>
    <t>Male</t>
  </si>
  <si>
    <t>Name imported from MPS template</t>
  </si>
  <si>
    <t>GRADE-I-1ST-SUMMATIVE-MPS.xlsx</t>
  </si>
  <si>
    <t>Student name imported from assessment/MPS file. Official LRN, birthdate, guardian, and address still need SF1/LIS verification.</t>
  </si>
  <si>
    <t>Needs official LRN verification</t>
  </si>
  <si>
    <t>ROWEL F.</t>
  </si>
  <si>
    <t>BAUTISTA</t>
  </si>
  <si>
    <t>DARYL JR.</t>
  </si>
  <si>
    <t>CAÑESO</t>
  </si>
  <si>
    <t>RUILY D.</t>
  </si>
  <si>
    <t>LANANG</t>
  </si>
  <si>
    <t>ALJUN C.</t>
  </si>
  <si>
    <t>MARVIN O.</t>
  </si>
  <si>
    <t>LOGRONIO</t>
  </si>
  <si>
    <t>LARCON M.</t>
  </si>
  <si>
    <t>RIVAS</t>
  </si>
  <si>
    <t>LEO JOHN M.</t>
  </si>
  <si>
    <t>TAÑOLA</t>
  </si>
  <si>
    <t>JONATHAN JR.</t>
  </si>
  <si>
    <t>TANOLA</t>
  </si>
  <si>
    <t>NELMAR L.</t>
  </si>
  <si>
    <t>ALMONTE</t>
  </si>
  <si>
    <t>CHRISTINE MAE M.</t>
  </si>
  <si>
    <t>Female</t>
  </si>
  <si>
    <t>ASHLEY D</t>
  </si>
  <si>
    <t>DEDASE</t>
  </si>
  <si>
    <t>ALEXA RHEAN M.</t>
  </si>
  <si>
    <t>ESPINA</t>
  </si>
  <si>
    <t>JOANA MAE T.</t>
  </si>
  <si>
    <t>JALANDONI</t>
  </si>
  <si>
    <t>RHEAMAY Q.</t>
  </si>
  <si>
    <t>IRISH B.</t>
  </si>
  <si>
    <t>JEA B.</t>
  </si>
  <si>
    <t>GHEA MAE B.</t>
  </si>
  <si>
    <t>JENALYN N.</t>
  </si>
  <si>
    <t>JOSEPHINE N.</t>
  </si>
  <si>
    <t>For LRN Verification - Grade 2-131</t>
  </si>
  <si>
    <t>BASCO</t>
  </si>
  <si>
    <t>PRINCE JEO C.</t>
  </si>
  <si>
    <t>GRADE-2-1ST-SUMMATIVE-MPS.xlsx</t>
  </si>
  <si>
    <t>CAMAYLONGAN</t>
  </si>
  <si>
    <t>JOHN KIVEN D.</t>
  </si>
  <si>
    <t>REYNALDO JR. V.</t>
  </si>
  <si>
    <t>CUPO</t>
  </si>
  <si>
    <t>TYLER MIKE M.</t>
  </si>
  <si>
    <t>JV D.</t>
  </si>
  <si>
    <t>MONTILLA</t>
  </si>
  <si>
    <t>JAYMARK R.</t>
  </si>
  <si>
    <t>MARK JEL P.</t>
  </si>
  <si>
    <t>VISCAYNO</t>
  </si>
  <si>
    <t>GEMAR JR. O.</t>
  </si>
  <si>
    <t>LEAM JHON R.</t>
  </si>
  <si>
    <t>ALYANA C.</t>
  </si>
  <si>
    <t>ARHIAN B.</t>
  </si>
  <si>
    <t>LOZADA</t>
  </si>
  <si>
    <t>MIRALYN JOY T.</t>
  </si>
  <si>
    <t>RAMIS</t>
  </si>
  <si>
    <t>CRISSA MAE I.</t>
  </si>
  <si>
    <t>SABADO</t>
  </si>
  <si>
    <t>BLESSY XYREE D.</t>
  </si>
  <si>
    <t>TOBIANO</t>
  </si>
  <si>
    <t>PRINCESS SOFIA B.</t>
  </si>
  <si>
    <t>LRN-000000000051</t>
  </si>
  <si>
    <t>Learner051</t>
  </si>
  <si>
    <t>No name in uploaded MPS file</t>
  </si>
  <si>
    <t>Placeholder pending official SF1/LIS</t>
  </si>
  <si>
    <t>Placeholder / Needs student name</t>
  </si>
  <si>
    <t>LRN-000000000052</t>
  </si>
  <si>
    <t>Learner052</t>
  </si>
  <si>
    <t>LRN-000000000053</t>
  </si>
  <si>
    <t>Learner053</t>
  </si>
  <si>
    <t>LRN-000000000054</t>
  </si>
  <si>
    <t>Learner054</t>
  </si>
  <si>
    <t>LRN-000000000055</t>
  </si>
  <si>
    <t>Learner055</t>
  </si>
  <si>
    <t>LRN-000000000056</t>
  </si>
  <si>
    <t>Learner056</t>
  </si>
  <si>
    <t>LRN-000000000057</t>
  </si>
  <si>
    <t>Learner057</t>
  </si>
  <si>
    <t>LRN-000000000058</t>
  </si>
  <si>
    <t>Learner058</t>
  </si>
  <si>
    <t>LRN-000000000059</t>
  </si>
  <si>
    <t>Learner059</t>
  </si>
  <si>
    <t>LRN-000000000060</t>
  </si>
  <si>
    <t>Learner060</t>
  </si>
  <si>
    <t>LRN-000000000061</t>
  </si>
  <si>
    <t>Learner061</t>
  </si>
  <si>
    <t>LRN-000000000062</t>
  </si>
  <si>
    <t>Learner062</t>
  </si>
  <si>
    <t>LRN-000000000063</t>
  </si>
  <si>
    <t>Learner063</t>
  </si>
  <si>
    <t>LRN-000000000064</t>
  </si>
  <si>
    <t>Learner064</t>
  </si>
  <si>
    <t>LRN-000000000065</t>
  </si>
  <si>
    <t>Learner065</t>
  </si>
  <si>
    <t>LRN-000000000066</t>
  </si>
  <si>
    <t>Learner066</t>
  </si>
  <si>
    <t>LRN-000000000067</t>
  </si>
  <si>
    <t>Learner067</t>
  </si>
  <si>
    <t>LRN-000000000068</t>
  </si>
  <si>
    <t>Learner068</t>
  </si>
  <si>
    <t>LRN-000000000069</t>
  </si>
  <si>
    <t>Learner069</t>
  </si>
  <si>
    <t>LRN-000000000070</t>
  </si>
  <si>
    <t>Learner070</t>
  </si>
  <si>
    <t>LRN-000000000071</t>
  </si>
  <si>
    <t>Learner071</t>
  </si>
  <si>
    <t>LRN-000000000072</t>
  </si>
  <si>
    <t>Learner072</t>
  </si>
  <si>
    <t>LRN-000000000073</t>
  </si>
  <si>
    <t>Learner073</t>
  </si>
  <si>
    <t>LRN-000000000074</t>
  </si>
  <si>
    <t>Learner074</t>
  </si>
  <si>
    <t>LRN-000000000075</t>
  </si>
  <si>
    <t>Learner075</t>
  </si>
  <si>
    <t>For LRN Verification - Grade 4-131</t>
  </si>
  <si>
    <t>JOVEN D.</t>
  </si>
  <si>
    <t>MPS_TERM-1-SUMMATIVE-TEST-1_GRADE-4-SY-2026-2027.xlsx</t>
  </si>
  <si>
    <t>GOMEZ</t>
  </si>
  <si>
    <t>JEFREY G.</t>
  </si>
  <si>
    <t>LAGURA</t>
  </si>
  <si>
    <t>RICHARD N.</t>
  </si>
  <si>
    <t>JOSELITO A.</t>
  </si>
  <si>
    <t>ABERIO</t>
  </si>
  <si>
    <t>MISHELLE S.</t>
  </si>
  <si>
    <t>RIANNA MAE C.</t>
  </si>
  <si>
    <t>JENNY G.</t>
  </si>
  <si>
    <t>MIERRA Q.</t>
  </si>
  <si>
    <t>LAURENTE</t>
  </si>
  <si>
    <t>JHESIEN CLAIRE</t>
  </si>
  <si>
    <t>LAURON</t>
  </si>
  <si>
    <t>ALTHEA R.</t>
  </si>
  <si>
    <t>MECHEL JANE Q.</t>
  </si>
  <si>
    <t>MESOLIS</t>
  </si>
  <si>
    <t>RHEA JANE P.</t>
  </si>
  <si>
    <t>MONTERA</t>
  </si>
  <si>
    <t>JERYCA S.</t>
  </si>
  <si>
    <t>JHEIA MAE SOPHIA C.</t>
  </si>
  <si>
    <t>ROVELYN B.</t>
  </si>
  <si>
    <t>LEA JOY R.</t>
  </si>
  <si>
    <t>For LRN Verification - Grade 5-131</t>
  </si>
  <si>
    <t>KARL</t>
  </si>
  <si>
    <t>OSORIO</t>
  </si>
  <si>
    <t>TEMPLATE_G5-MPS_TERM-1-SUMMATIVE-TEST-1_SY-2026-2027.xlsx</t>
  </si>
  <si>
    <t>BUNDAN</t>
  </si>
  <si>
    <t>FRANCIS PAUL</t>
  </si>
  <si>
    <t>LIBORA</t>
  </si>
  <si>
    <t>DUMABOK</t>
  </si>
  <si>
    <t>JHON MARK</t>
  </si>
  <si>
    <t>ESTRELLA</t>
  </si>
  <si>
    <t>ROGELLIO</t>
  </si>
  <si>
    <t>PANES</t>
  </si>
  <si>
    <t>GONZAGA</t>
  </si>
  <si>
    <t>JHENO</t>
  </si>
  <si>
    <t>SAROCAM</t>
  </si>
  <si>
    <t>JUALO</t>
  </si>
  <si>
    <t>PRINCE ALDEN</t>
  </si>
  <si>
    <t>JAYLOU</t>
  </si>
  <si>
    <t>INDE</t>
  </si>
  <si>
    <t>TAWIDE</t>
  </si>
  <si>
    <t>EZEQUIL</t>
  </si>
  <si>
    <t>TABURADA</t>
  </si>
  <si>
    <t>JAYBERT</t>
  </si>
  <si>
    <t>BAGUNA</t>
  </si>
  <si>
    <t>TISMO</t>
  </si>
  <si>
    <t>LAURENCE</t>
  </si>
  <si>
    <t>ROWENA</t>
  </si>
  <si>
    <t>FRANCISCO</t>
  </si>
  <si>
    <t>BADA</t>
  </si>
  <si>
    <t>DIAN</t>
  </si>
  <si>
    <t>ORJA</t>
  </si>
  <si>
    <t>JENECAH</t>
  </si>
  <si>
    <t>KEZIAH JANE</t>
  </si>
  <si>
    <t>BUSLATAN</t>
  </si>
  <si>
    <t>JAHARA</t>
  </si>
  <si>
    <t>ARIAN</t>
  </si>
  <si>
    <t>RONQUILLO</t>
  </si>
  <si>
    <t>JAY-ANN</t>
  </si>
  <si>
    <t>OCAB</t>
  </si>
  <si>
    <t>PRINCESS MAE</t>
  </si>
  <si>
    <t>MONTERO</t>
  </si>
  <si>
    <t>JANNABEL</t>
  </si>
  <si>
    <t>SALGADO</t>
  </si>
  <si>
    <t>JERLYN</t>
  </si>
  <si>
    <t>LLANO</t>
  </si>
  <si>
    <t>TUMOPAS</t>
  </si>
  <si>
    <t>RICKA</t>
  </si>
  <si>
    <t>For LRN Verification - Grade 6-131</t>
  </si>
  <si>
    <t>ACEVEDO</t>
  </si>
  <si>
    <t>JAMES</t>
  </si>
  <si>
    <t>ANGOB</t>
  </si>
  <si>
    <t>TEMPLATE_G6-MPS_TERM-1-SUMMATIVE-TEST-1_SY-2026-2027.xlsx</t>
  </si>
  <si>
    <t>AGUPITAC</t>
  </si>
  <si>
    <t>BONJOVIE</t>
  </si>
  <si>
    <t>BATAAN</t>
  </si>
  <si>
    <t>SONNY BOY CORVERA</t>
  </si>
  <si>
    <t>ENGROVA</t>
  </si>
  <si>
    <t>BENJOMAR</t>
  </si>
  <si>
    <t>NERI</t>
  </si>
  <si>
    <t>HONTILLA</t>
  </si>
  <si>
    <t>JERLIE</t>
  </si>
  <si>
    <t>JOSOY</t>
  </si>
  <si>
    <t>MELJOHN</t>
  </si>
  <si>
    <t>SAMSON</t>
  </si>
  <si>
    <t>NIEGAS</t>
  </si>
  <si>
    <t>RONALD</t>
  </si>
  <si>
    <t>VILLAMOR</t>
  </si>
  <si>
    <t>BEER</t>
  </si>
  <si>
    <t>PALAPAR</t>
  </si>
  <si>
    <t>JAYRANZ</t>
  </si>
  <si>
    <t>RIZALDO</t>
  </si>
  <si>
    <t>AVILA</t>
  </si>
  <si>
    <t>JENA JEN</t>
  </si>
  <si>
    <t>MARICEL</t>
  </si>
  <si>
    <t>EUJANE</t>
  </si>
  <si>
    <t>ANGEL</t>
  </si>
  <si>
    <t>CHRISTINE JOY</t>
  </si>
  <si>
    <t>DUBLAS</t>
  </si>
  <si>
    <t>JAIRAH</t>
  </si>
  <si>
    <t>BAGULOS</t>
  </si>
  <si>
    <t>JAMAICA</t>
  </si>
  <si>
    <t>LHEA</t>
  </si>
  <si>
    <t>DAGNO</t>
  </si>
  <si>
    <t>CONSAD</t>
  </si>
  <si>
    <t>VEMBERLY</t>
  </si>
  <si>
    <t>OTERO</t>
  </si>
  <si>
    <t>JENELYN</t>
  </si>
  <si>
    <t>For LRN Verification - Grade 6-132</t>
  </si>
  <si>
    <t>ROVELYN</t>
  </si>
  <si>
    <t>SIBOGAN</t>
  </si>
  <si>
    <t>For LRN Verification - Grade 6-133</t>
  </si>
  <si>
    <t>GOLORAN</t>
  </si>
  <si>
    <t>CRISTAL JADE</t>
  </si>
  <si>
    <t>For LRN Verification - Grade 6-134</t>
  </si>
  <si>
    <t>LAMELA</t>
  </si>
  <si>
    <t>NIÑA GRACE</t>
  </si>
  <si>
    <t>For LRN Verification - Grade 6-135</t>
  </si>
  <si>
    <t>ASHLEY</t>
  </si>
  <si>
    <t>For LRN Verification - Grade 6-136</t>
  </si>
  <si>
    <t>MARYCRIS</t>
  </si>
  <si>
    <t>For LRN Verification - Grade 6-137</t>
  </si>
  <si>
    <t>ARINA</t>
  </si>
  <si>
    <t>For LRN Verification - Grade 6-138</t>
  </si>
  <si>
    <t>MAGALLANO</t>
  </si>
  <si>
    <t>SHAIRA FAYE</t>
  </si>
  <si>
    <t>GONZALES</t>
  </si>
  <si>
    <t>For LRN Verification - Grade 6-139</t>
  </si>
  <si>
    <t>JELMARIE</t>
  </si>
  <si>
    <t>For LRN Verification - Grade 6-140</t>
  </si>
  <si>
    <t>JONALYN</t>
  </si>
  <si>
    <t>For LRN Verification - Grade 6-141</t>
  </si>
  <si>
    <t>RECTO</t>
  </si>
  <si>
    <t>MAYJANE</t>
  </si>
  <si>
    <t>For LRN Verification - Grade 6-142</t>
  </si>
  <si>
    <t>ALYANA</t>
  </si>
  <si>
    <t>For LRN Verification - Grade 6-143</t>
  </si>
  <si>
    <t>JANAMAE</t>
  </si>
  <si>
    <t>For LRN Verification - Grade 6-144</t>
  </si>
  <si>
    <t>PAULEEN</t>
  </si>
  <si>
    <t>For LRN Verification - Grade 6-145</t>
  </si>
  <si>
    <t>FLORA GEN</t>
  </si>
  <si>
    <t>OLAER</t>
  </si>
  <si>
    <t>HOW TO UPDATE STUDENT DATA
Use this guide when encoding or importing official LIS student/enrollment data.</t>
  </si>
  <si>
    <t>Step</t>
  </si>
  <si>
    <t>Action</t>
  </si>
  <si>
    <t>Where</t>
  </si>
  <si>
    <t>Important Rule</t>
  </si>
  <si>
    <t>Result</t>
  </si>
  <si>
    <t>Download/export learner list from LIS</t>
  </si>
  <si>
    <t>LIS portal</t>
  </si>
  <si>
    <t>Use LRN as unique key</t>
  </si>
  <si>
    <t>Official student source file</t>
  </si>
  <si>
    <t>Open Student_Masterlist</t>
  </si>
  <si>
    <t>This workbook</t>
  </si>
  <si>
    <t>Do not delete formula columns</t>
  </si>
  <si>
    <t>Ready to paste/update student data</t>
  </si>
  <si>
    <t>Replace placeholder learner data</t>
  </si>
  <si>
    <t>Rows 6 onward</t>
  </si>
  <si>
    <t>Keep grade/section official names</t>
  </si>
  <si>
    <t>Student data becomes school-specific</t>
  </si>
  <si>
    <t>Check DataCheck column</t>
  </si>
  <si>
    <t>Column W</t>
  </si>
  <si>
    <t>Must show OK</t>
  </si>
  <si>
    <t>Data is ready for dashboard</t>
  </si>
  <si>
    <t>Use Enrollment_Dashboard</t>
  </si>
  <si>
    <t>Dashboard sheet</t>
  </si>
  <si>
    <t>Refresh workbook/calculations if needed</t>
  </si>
  <si>
    <t>Enrollment counts update</t>
  </si>
  <si>
    <t>Do not delete old learners immediately</t>
  </si>
  <si>
    <t>EnrollmentStatus column</t>
  </si>
  <si>
    <t>Use For Verification first</t>
  </si>
  <si>
    <t>Protect historical records</t>
  </si>
  <si>
    <t>Note: I added placeholder learner records because actual names/LRNs were not provided. Replace placeholder names and LRN values with your official LIS export data. Use Class_Sections as the official class reference.</t>
  </si>
  <si>
    <t>DateImported</t>
  </si>
  <si>
    <t>SourceFile</t>
  </si>
  <si>
    <t>RecordsImported</t>
  </si>
  <si>
    <t>ImportedFields</t>
  </si>
  <si>
    <t>Notes</t>
  </si>
  <si>
    <t>Learner names only</t>
  </si>
  <si>
    <t>LRN/sex/birthdate not present in the MPS template; confirm using populated SF1/LIS.</t>
  </si>
  <si>
    <t>Learner names; sex where present in Grade 1/2 file</t>
  </si>
  <si>
    <t>LRN/birthdate/guardian/address still require populated SF1/LIS.</t>
  </si>
  <si>
    <t>OFFICIAL LIST OF CLASSES AND SECTIONS</t>
  </si>
  <si>
    <t>DisplayName</t>
  </si>
  <si>
    <t>Kinder - KAMAGONG</t>
  </si>
  <si>
    <t>From LIS class list image</t>
  </si>
  <si>
    <t>Grade 1 - MAGKONO</t>
  </si>
  <si>
    <t>Grade 2 - NARRA</t>
  </si>
  <si>
    <t>Grade 3 - TOOG</t>
  </si>
  <si>
    <t>Grade 4 - TUGAS</t>
  </si>
  <si>
    <t>Grade 5 - LAUAAN</t>
  </si>
  <si>
    <t>Grade 6 - YAKAL</t>
  </si>
  <si>
    <t>TEACHER VIEW-ONLY DASHBOARD
Designed for teachers to view submission updates and class results without editing the database.</t>
  </si>
  <si>
    <t>Submissions</t>
  </si>
  <si>
    <t>Learner Rows</t>
  </si>
  <si>
    <t>Average MPS</t>
  </si>
  <si>
    <t>Select Teacher:</t>
  </si>
  <si>
    <t>Role:</t>
  </si>
  <si>
    <t>Assigned Class:</t>
  </si>
  <si>
    <t>Proficient Count</t>
  </si>
  <si>
    <t>TOTAL SUBMISSIONS</t>
  </si>
  <si>
    <t>LEARNER RESULTS</t>
  </si>
  <si>
    <t>AVERAGE MPS</t>
  </si>
  <si>
    <t>FOR CHECKING</t>
  </si>
  <si>
    <t>RETURNED</t>
  </si>
  <si>
    <t>Submitted Accepted</t>
  </si>
  <si>
    <t>Teacher Email</t>
  </si>
  <si>
    <t>Submitted through Forms/upload</t>
  </si>
  <si>
    <t>Rows extracted from Excel</t>
  </si>
  <si>
    <t>Class result summary</t>
  </si>
  <si>
    <t>Waiting for admin review</t>
  </si>
  <si>
    <t>Needs correction</t>
  </si>
  <si>
    <t>MY RECENT SUBMISSIONS AND REPORT FILES</t>
  </si>
  <si>
    <t>Quarter</t>
  </si>
  <si>
    <t>Mean Score</t>
  </si>
  <si>
    <t>MY EXTRACTED LEARNER RESULTS</t>
  </si>
  <si>
    <t>Learner Name</t>
  </si>
  <si>
    <t>Total Items</t>
  </si>
  <si>
    <t>Raw Score</t>
  </si>
  <si>
    <t>Performance</t>
  </si>
  <si>
    <t>SUBJECT SUMMARY</t>
  </si>
  <si>
    <t>Rows</t>
  </si>
  <si>
    <t>Proficient</t>
  </si>
  <si>
    <t>Nearly Proficient</t>
  </si>
  <si>
    <t>Low/Not Proficient</t>
  </si>
  <si>
    <t>Teacher View Note: Share this dashboard as View Only through SharePoint/OneDrive or publish it to Power BI. Teachers should submit Excel result files through Microsoft Forms only. Do not give teachers edit access to the main workbook.</t>
  </si>
  <si>
    <t>LEARNER SCORES EXTRACTED FROM TEACHER EXCEL UPLOADS
Power Automate copies every learner row from the teacher template into this table.</t>
  </si>
  <si>
    <t>ScoreID</t>
  </si>
  <si>
    <t>SubmissionID</t>
  </si>
  <si>
    <t>SubmissionDate</t>
  </si>
  <si>
    <t>TeacherName</t>
  </si>
  <si>
    <t>TeacherEmail</t>
  </si>
  <si>
    <t>AssessmentType</t>
  </si>
  <si>
    <t>LearnerName</t>
  </si>
  <si>
    <t>TotalItems</t>
  </si>
  <si>
    <t>RawScore</t>
  </si>
  <si>
    <t>PerformanceLevel</t>
  </si>
  <si>
    <t>UploadedFileName</t>
  </si>
  <si>
    <t>UploadedFileLink</t>
  </si>
  <si>
    <t>jenny.teacher@deped.gov.ph</t>
  </si>
  <si>
    <t>Periodical Exam</t>
  </si>
  <si>
    <t>Learner 001</t>
  </si>
  <si>
    <t>Grade 1_English_Result.xlsx</t>
  </si>
  <si>
    <t>https://contoso.sharepoint.com/sites/MAMON/Shared%20Documents/TeacherUploads/sample.xlsx</t>
  </si>
  <si>
    <t>Learner 002</t>
  </si>
  <si>
    <t>Learner 003</t>
  </si>
  <si>
    <t>Learner 004</t>
  </si>
  <si>
    <t>Learner 005</t>
  </si>
  <si>
    <t>maria.teacher@deped.gov.ph</t>
  </si>
  <si>
    <t>Summative Test</t>
  </si>
  <si>
    <t>Learner 006</t>
  </si>
  <si>
    <t>Grade 2_Mathematics_Result.xlsx</t>
  </si>
  <si>
    <t>Learner 007</t>
  </si>
  <si>
    <t>Learner 008</t>
  </si>
  <si>
    <t>Learner 009</t>
  </si>
  <si>
    <t>Learner 010</t>
  </si>
  <si>
    <t>jessa.teacher@deped.gov.ph</t>
  </si>
  <si>
    <t>Learner 011</t>
  </si>
  <si>
    <t>Grade 3_Filipino_Result.xlsx</t>
  </si>
  <si>
    <t>Learner 012</t>
  </si>
  <si>
    <t>Learner 013</t>
  </si>
  <si>
    <t>Learner 014</t>
  </si>
  <si>
    <t>Learner 015</t>
  </si>
  <si>
    <t>ASSESSMENT SUBMISSIONS DATABASE
This table receives Microsoft Forms responses through Power Automate.</t>
  </si>
  <si>
    <t>TotalLearners</t>
  </si>
  <si>
    <t>MeanScore</t>
  </si>
  <si>
    <t>AtRiskLearners</t>
  </si>
  <si>
    <t>MasteredCompetency</t>
  </si>
  <si>
    <t>LeastMasteredCompetency</t>
  </si>
  <si>
    <t>4</t>
  </si>
  <si>
    <t>Polite expressions</t>
  </si>
  <si>
    <t>G1_English_Periodical.pdf</t>
  </si>
  <si>
    <t>https://contoso.sharepoint.com/sites/MAMON/Shared%20Documents/FormsUploads/G1_English_Periodical.pdf</t>
  </si>
  <si>
    <t>Sample only</t>
  </si>
  <si>
    <t>8</t>
  </si>
  <si>
    <t>Counting 1-100</t>
  </si>
  <si>
    <t>G2_Math_Summative.xlsx</t>
  </si>
  <si>
    <t>https://contoso.sharepoint.com/sites/MAMON/Shared%20Documents/FormsUploads/G2_Math_Summative.xlsx</t>
  </si>
  <si>
    <t>Diagnostic Test</t>
  </si>
  <si>
    <t>2</t>
  </si>
  <si>
    <t>Listening comprehension</t>
  </si>
  <si>
    <t>Written expression</t>
  </si>
  <si>
    <t>G3_Filipino_Diagnostic.pdf</t>
  </si>
  <si>
    <t>https://contoso.sharepoint.com/sites/MAMON/Shared%20Documents/FormsUploads/G3_Filipino_Diagnostic.pdf</t>
  </si>
  <si>
    <t>Dashboard hyperlink formula sample:</t>
  </si>
  <si>
    <t>VIEW-ONLY DASHBOARD SHARING GUIDE
Use this guide to let teachers see updates/results without allowing them to edit the workbook.</t>
  </si>
  <si>
    <t>Method</t>
  </si>
  <si>
    <t>Recommended Use</t>
  </si>
  <si>
    <t>Who Can Use</t>
  </si>
  <si>
    <t>Permission</t>
  </si>
  <si>
    <t>Steps</t>
  </si>
  <si>
    <t>Risk Level</t>
  </si>
  <si>
    <t>Best For</t>
  </si>
  <si>
    <t>Excel Online View Only</t>
  </si>
  <si>
    <t>Fastest deployment</t>
  </si>
  <si>
    <t>Teachers and principal</t>
  </si>
  <si>
    <t>Can view only</t>
  </si>
  <si>
    <t>Upload workbook to SharePoint/OneDrive &gt; Share &gt; Specific people &gt; Can view</t>
  </si>
  <si>
    <t>Low</t>
  </si>
  <si>
    <t>Small school setup</t>
  </si>
  <si>
    <t>Do not share edit link</t>
  </si>
  <si>
    <t>Power BI Dashboard</t>
  </si>
  <si>
    <t>Best presentation/viewing experience</t>
  </si>
  <si>
    <t>Teachers/principal</t>
  </si>
  <si>
    <t>Viewer only</t>
  </si>
  <si>
    <t>Connect Power BI to workbook &gt; publish report &gt; share app/dashboard as viewer</t>
  </si>
  <si>
    <t>Very Low</t>
  </si>
  <si>
    <t>Formal dashboard viewing</t>
  </si>
  <si>
    <t>Protects workbook formulas</t>
  </si>
  <si>
    <t>Power Apps Teacher Portal</t>
  </si>
  <si>
    <t>Best future upgrade</t>
  </si>
  <si>
    <t>Teachers/admin/principal</t>
  </si>
  <si>
    <t>App user only</t>
  </si>
  <si>
    <t>Build app &gt; filter by User().Email &gt; share as User</t>
  </si>
  <si>
    <t>Teacher login portal</t>
  </si>
  <si>
    <t>Requires more setup</t>
  </si>
  <si>
    <t>Direct Excel Editing</t>
  </si>
  <si>
    <t>Not recommended for teachers</t>
  </si>
  <si>
    <t>Admin only</t>
  </si>
  <si>
    <t>Can edit</t>
  </si>
  <si>
    <t>Only system owner/admin should edit workbook</t>
  </si>
  <si>
    <t>High</t>
  </si>
  <si>
    <t>Admin maintenance</t>
  </si>
  <si>
    <t>May break formulas if shared broadly</t>
  </si>
  <si>
    <t>IMPORTANT: Teachers should submit through Microsoft Forms and view through Power BI or Excel Online view-only. Do not give teachers edit access to the main workbook because formulas, table names, and Power Automate mappings can break.</t>
  </si>
  <si>
    <t>USER ACCESS AND VIEW-ONLY CONTROL
Use this sheet to manage teacher emails, roles, assigned grade/section, and dashboard viewing rights.</t>
  </si>
  <si>
    <t>UserID</t>
  </si>
  <si>
    <t>UserName</t>
  </si>
  <si>
    <t>Email</t>
  </si>
  <si>
    <t>Role</t>
  </si>
  <si>
    <t>AssignedGrade</t>
  </si>
  <si>
    <t>AssignedSection</t>
  </si>
  <si>
    <t>CanSubmit</t>
  </si>
  <si>
    <t>CanViewTeacherDashboard</t>
  </si>
  <si>
    <t>CanViewAllResults</t>
  </si>
  <si>
    <t>CanEditWorkbook</t>
  </si>
  <si>
    <t>Yes</t>
  </si>
  <si>
    <t>No</t>
  </si>
  <si>
    <t>View own class results only</t>
  </si>
  <si>
    <t>alma.teacher@deped.gov.ph</t>
  </si>
  <si>
    <t>lendon.teacher@deped.gov.ph</t>
  </si>
  <si>
    <t>mark.teacher@deped.gov.ph</t>
  </si>
  <si>
    <t>Jasper S. Campado</t>
  </si>
  <si>
    <t>jasper_campado@deped.gov.ph</t>
  </si>
  <si>
    <t>Admin</t>
  </si>
  <si>
    <t>All</t>
  </si>
  <si>
    <t>System owner/admin</t>
  </si>
  <si>
    <t>Mr. Eric Palingcod</t>
  </si>
  <si>
    <t>principal@deped.gov.ph</t>
  </si>
  <si>
    <t>Principal</t>
  </si>
  <si>
    <t>View all dashboards</t>
  </si>
  <si>
    <t>TEACHER EXCEL UPLOAD TEMPLATE GUIDE
Teachers must use the separate template workbook and must not rename the table tblTeacherResults.</t>
  </si>
  <si>
    <t>Instruction</t>
  </si>
  <si>
    <t>Reason</t>
  </si>
  <si>
    <t>Teacher Action</t>
  </si>
  <si>
    <t>Admin Check</t>
  </si>
  <si>
    <t>Common Error</t>
  </si>
  <si>
    <t>Fix</t>
  </si>
  <si>
    <t>Download official template: MAM_ON_ES_Teacher_Result_Upload_Template.xlsx</t>
  </si>
  <si>
    <t>Power Automate expects one standard structure</t>
  </si>
  <si>
    <t>Download copy for every assessment</t>
  </si>
  <si>
    <t>Confirm file extension is .xlsx</t>
  </si>
  <si>
    <t>Teacher uses old format</t>
  </si>
  <si>
    <t>Resend official template</t>
  </si>
  <si>
    <t>Required</t>
  </si>
  <si>
    <t>Fill out only the learner rows and RawScore column</t>
  </si>
  <si>
    <t>Prevents broken formulas and mappings</t>
  </si>
  <si>
    <t>Encode learner scores inside the table</t>
  </si>
  <si>
    <t>Check RawScore and TotalItems</t>
  </si>
  <si>
    <t>Data typed outside table</t>
  </si>
  <si>
    <t>Copy data into tblTeacherResults</t>
  </si>
  <si>
    <t>Do not rename sheet or table</t>
  </si>
  <si>
    <t>Flow reads tblTeacherResults</t>
  </si>
  <si>
    <t>Leave structure unchanged</t>
  </si>
  <si>
    <t>Open file and verify table name</t>
  </si>
  <si>
    <t>Table not found error</t>
  </si>
  <si>
    <t>Restore table name tblTeacherResults</t>
  </si>
  <si>
    <t>Upload through Microsoft Forms link</t>
  </si>
  <si>
    <t>Creates audit trail and file link</t>
  </si>
  <si>
    <t>Submit one Excel file per subject/assessment</t>
  </si>
  <si>
    <t>Check flow run history</t>
  </si>
  <si>
    <t>Wrong file uploaded</t>
  </si>
  <si>
    <t>Return submission for correction</t>
  </si>
  <si>
    <t>Wait for dashboard status</t>
  </si>
  <si>
    <t>Status starts as For Checking</t>
  </si>
  <si>
    <t>Open view-only dashboard</t>
  </si>
  <si>
    <t>Principal/admin reviews</t>
  </si>
  <si>
    <t>Dashboard not updated</t>
  </si>
  <si>
    <t>Check flow failure and table names</t>
  </si>
  <si>
    <t>SAMPLE POWER AUTOMATE FLOW
Teacher uploads report by Microsoft Forms, then Excel dashboard updates automatically.</t>
  </si>
  <si>
    <t>Connector</t>
  </si>
  <si>
    <t>Configuration</t>
  </si>
  <si>
    <t>Input / Expression</t>
  </si>
  <si>
    <t>Output Used</t>
  </si>
  <si>
    <t>Success Check</t>
  </si>
  <si>
    <t>If Failed</t>
  </si>
  <si>
    <t>Owner</t>
  </si>
  <si>
    <t>Microsoft Forms</t>
  </si>
  <si>
    <t>When a new response is submitted</t>
  </si>
  <si>
    <t>Form Id: MAM-ON ES Assessment Result Submission Form</t>
  </si>
  <si>
    <t>Response Id</t>
  </si>
  <si>
    <t>Triggers flow</t>
  </si>
  <si>
    <t>New run appears</t>
  </si>
  <si>
    <t>Check form permissions</t>
  </si>
  <si>
    <t>This starts every teacher submission.</t>
  </si>
  <si>
    <t>Get response details</t>
  </si>
  <si>
    <t>Form Id: same form; Response Id: Response Id</t>
  </si>
  <si>
    <t>Response Id from Step 1</t>
  </si>
  <si>
    <t>All answers</t>
  </si>
  <si>
    <t>Answers visible in run history</t>
  </si>
  <si>
    <t>Re-select form ID</t>
  </si>
  <si>
    <t>Use dynamic content from this step for mapping.</t>
  </si>
  <si>
    <t>Excel Online (Business)</t>
  </si>
  <si>
    <t>Add a row into a table</t>
  </si>
  <si>
    <t>File: workbook; Table: tblAssessmentSubmissions</t>
  </si>
  <si>
    <t>Map fields using Form_Mapping_Guide</t>
  </si>
  <si>
    <t>New assessment row</t>
  </si>
  <si>
    <t>New row appears in Assessment_Submissions</t>
  </si>
  <si>
    <t>Check file is in OneDrive/SharePoint and table exists</t>
  </si>
  <si>
    <t>Set Status = For Checking.</t>
  </si>
  <si>
    <t>Update a row</t>
  </si>
  <si>
    <t>Table: tblSubmissions; Key Column: TeacherName</t>
  </si>
  <si>
    <t>TeacherName, DateSubmitted=utcNow(), ReviewStatus=For Checking</t>
  </si>
  <si>
    <t>Teacher status updated</t>
  </si>
  <si>
    <t>Dashboard changes to blue For Checking</t>
  </si>
  <si>
    <t>Check exact TeacherName spelling</t>
  </si>
  <si>
    <t>Use GradeLevel/TeacherName as matching key.</t>
  </si>
  <si>
    <t>Outlook</t>
  </si>
  <si>
    <t>Send an email</t>
  </si>
  <si>
    <t>To: Teacher email or admin/principal</t>
  </si>
  <si>
    <t>Submission summary + file link</t>
  </si>
  <si>
    <t>Confirmation email</t>
  </si>
  <si>
    <t>Teacher receives email</t>
  </si>
  <si>
    <t>Check mailbox permissions</t>
  </si>
  <si>
    <t>Optional but recommended.</t>
  </si>
  <si>
    <t>Optional: Add row to audit log</t>
  </si>
  <si>
    <t>Table: tblLISSync or separate tblSubmissionAudit</t>
  </si>
  <si>
    <t>utcNow(), Response Id, TeacherName</t>
  </si>
  <si>
    <t>Audit trail</t>
  </si>
  <si>
    <t>Audit row appears</t>
  </si>
  <si>
    <t>Check target table</t>
  </si>
  <si>
    <t>Useful for records and troubleshooting.</t>
  </si>
  <si>
    <t>Useful Expressions</t>
  </si>
  <si>
    <t>Current date/time</t>
  </si>
  <si>
    <t>utcNow()</t>
  </si>
  <si>
    <t>Set review status</t>
  </si>
  <si>
    <t>Dashboard clickable link formula</t>
  </si>
  <si>
    <t>MPS formula</t>
  </si>
  <si>
    <t>Performance level formula</t>
  </si>
  <si>
    <t>OPTION B: AUTOMATIC EXTRACTION FROM UPLOADED TEACHER EXCEL FILE</t>
  </si>
  <si>
    <t>Target</t>
  </si>
  <si>
    <t>Important Setting</t>
  </si>
  <si>
    <t>Expression / Mapping</t>
  </si>
  <si>
    <t>Expected Output</t>
  </si>
  <si>
    <t>Common Failure</t>
  </si>
  <si>
    <t>Required?</t>
  </si>
  <si>
    <t>Microsoft Forms - When response submitted</t>
  </si>
  <si>
    <t>Teacher upload form</t>
  </si>
  <si>
    <t>Use official form</t>
  </si>
  <si>
    <t>Flow starts</t>
  </si>
  <si>
    <t>No run created</t>
  </si>
  <si>
    <t>Check form selected</t>
  </si>
  <si>
    <t>Teacher must use org account</t>
  </si>
  <si>
    <t>Microsoft Forms - Get response details</t>
  </si>
  <si>
    <t>Same form</t>
  </si>
  <si>
    <t>Response Id from trigger</t>
  </si>
  <si>
    <t>Teacher fields + file upload answer</t>
  </si>
  <si>
    <t>Answers available</t>
  </si>
  <si>
    <t>Upload field blank</t>
  </si>
  <si>
    <t>Make upload required</t>
  </si>
  <si>
    <t>Compose or Parse JSON</t>
  </si>
  <si>
    <t>Upload Excel Result File</t>
  </si>
  <si>
    <t>Convert upload answer to JSON</t>
  </si>
  <si>
    <t>json(outputs('Get_response_details')?['body/UPLOAD_FIELD_ID'])</t>
  </si>
  <si>
    <t>File name/link/id extracted</t>
  </si>
  <si>
    <t>Property selection error</t>
  </si>
  <si>
    <t>Use json() conversion</t>
  </si>
  <si>
    <t>Replace UPLOAD_FIELD_ID</t>
  </si>
  <si>
    <t>Apply to each uploaded file</t>
  </si>
  <si>
    <t>Compose output</t>
  </si>
  <si>
    <t>One file limit recommended</t>
  </si>
  <si>
    <t>items('Apply_to_each')?['name']; items('Apply_to_each')?['link']</t>
  </si>
  <si>
    <t>File metadata available</t>
  </si>
  <si>
    <t>Multiple files cause duplicates</t>
  </si>
  <si>
    <t>Limit upload to 1 file</t>
  </si>
  <si>
    <t>Excel Online - List rows present in a table</t>
  </si>
  <si>
    <t>Uploaded teacher file</t>
  </si>
  <si>
    <t>Table name: tblTeacherResults; Pagination On</t>
  </si>
  <si>
    <t>Use uploaded file identifier</t>
  </si>
  <si>
    <t>Learner rows read</t>
  </si>
  <si>
    <t>Table not found</t>
  </si>
  <si>
    <t>Use official template</t>
  </si>
  <si>
    <t>Threshold 5000</t>
  </si>
  <si>
    <t>Apply to each learner row</t>
  </si>
  <si>
    <t>Rows from step 5</t>
  </si>
  <si>
    <t>Loop over value array</t>
  </si>
  <si>
    <t>items('Apply_to_each_row')?['LRN'] etc.</t>
  </si>
  <si>
    <t>One row per learner</t>
  </si>
  <si>
    <t>Dynamic columns missing</t>
  </si>
  <si>
    <t>Use manual expressions</t>
  </si>
  <si>
    <t>Excel Online - Add a row into a table</t>
  </si>
  <si>
    <t>Main workbook tblLearnerScores</t>
  </si>
  <si>
    <t>File: Main system workbook</t>
  </si>
  <si>
    <t>Map every learner row to Learner_Scores</t>
  </si>
  <si>
    <t>Dashboard receives learner score</t>
  </si>
  <si>
    <t>Wrong workbook or table</t>
  </si>
  <si>
    <t>Select tblLearnerScores</t>
  </si>
  <si>
    <t>Excel Online - Add summary row</t>
  </si>
  <si>
    <t>tblAssessmentSubmissions</t>
  </si>
  <si>
    <t>Status = For Checking</t>
  </si>
  <si>
    <t>UploadedFileLink = file link</t>
  </si>
  <si>
    <t>Teacher status visible</t>
  </si>
  <si>
    <t>Dashboard shows no file</t>
  </si>
  <si>
    <t>Map link property</t>
  </si>
  <si>
    <t>Excel Online - Update row</t>
  </si>
  <si>
    <t>tblSubmissions</t>
  </si>
  <si>
    <t>Key: TeacherName or TeacherEmail</t>
  </si>
  <si>
    <t>DateSubmitted=utcNow(); ReviewStatus=For Checking</t>
  </si>
  <si>
    <t>Teacher status turns blue</t>
  </si>
  <si>
    <t>Key not found</t>
  </si>
  <si>
    <t>Use exact teacher name/email</t>
  </si>
  <si>
    <t>Recommended</t>
  </si>
  <si>
    <t>Outlook - Send email</t>
  </si>
  <si>
    <t>Teacher/Admin/Principal</t>
  </si>
  <si>
    <t>Include status and file link</t>
  </si>
  <si>
    <t>Confirmation message</t>
  </si>
  <si>
    <t>Email received</t>
  </si>
  <si>
    <t>No email sent</t>
  </si>
  <si>
    <t>Check permissions</t>
  </si>
  <si>
    <t>Optional</t>
  </si>
  <si>
    <t>MICROSOFT FORMS TO EXCEL MAPPING GUIDE
Use this exact guide when configuring Power Automate: Add a row into a table.</t>
  </si>
  <si>
    <t>Excel Column</t>
  </si>
  <si>
    <t>Power Automate Value</t>
  </si>
  <si>
    <t>Source Step</t>
  </si>
  <si>
    <t>Example</t>
  </si>
  <si>
    <t>Validation</t>
  </si>
  <si>
    <t>Dashboard Effect</t>
  </si>
  <si>
    <t>1001</t>
  </si>
  <si>
    <t>Unique ID from Microsoft Forms.</t>
  </si>
  <si>
    <t>Number/Text</t>
  </si>
  <si>
    <t>Prevents duplicate tracking</t>
  </si>
  <si>
    <t>Expression</t>
  </si>
  <si>
    <t>2026-07-27 09:20</t>
  </si>
  <si>
    <t>Use current submission date/time.</t>
  </si>
  <si>
    <t>DateTime</t>
  </si>
  <si>
    <t>Dashboard shows latest submission</t>
  </si>
  <si>
    <t>Teacher Name</t>
  </si>
  <si>
    <t>Use exact names matching Teacher_Submissions.</t>
  </si>
  <si>
    <t>Choice/Text</t>
  </si>
  <si>
    <t>Links submission to teacher</t>
  </si>
  <si>
    <t>Grade Level</t>
  </si>
  <si>
    <t>Use dropdown choices to avoid spelling issues.</t>
  </si>
  <si>
    <t>Choice</t>
  </si>
  <si>
    <t>Filters by grade</t>
  </si>
  <si>
    <t>Use section choices.</t>
  </si>
  <si>
    <t>Displays section</t>
  </si>
  <si>
    <t>Quarter monitoring.</t>
  </si>
  <si>
    <t>Used in compliance dashboard</t>
  </si>
  <si>
    <t>Assessment Type</t>
  </si>
  <si>
    <t>Diagnostic, Summative, Periodical, etc.</t>
  </si>
  <si>
    <t>Groups reports by assessment type</t>
  </si>
  <si>
    <t>Subject of report.</t>
  </si>
  <si>
    <t>Updates subject analytics</t>
  </si>
  <si>
    <t>20</t>
  </si>
  <si>
    <t>Number of learners assessed.</t>
  </si>
  <si>
    <t>Number</t>
  </si>
  <si>
    <t>Used for participation checking</t>
  </si>
  <si>
    <t>50</t>
  </si>
  <si>
    <t>Total possible score/items.</t>
  </si>
  <si>
    <t>Used for MPS</t>
  </si>
  <si>
    <t>35</t>
  </si>
  <si>
    <t>Class mean score.</t>
  </si>
  <si>
    <t>Leave blank or Excel formula</t>
  </si>
  <si>
    <t>Excel formula</t>
  </si>
  <si>
    <t>Excel calculates this automatically.</t>
  </si>
  <si>
    <t>Formula</t>
  </si>
  <si>
    <t>Updates performance charts</t>
  </si>
  <si>
    <t>Excel calculates level using MPS bands.</t>
  </si>
  <si>
    <t>Shows proficiency band</t>
  </si>
  <si>
    <t>Number of At-Risk Learners</t>
  </si>
  <si>
    <t>5</t>
  </si>
  <si>
    <t>Learners below target.</t>
  </si>
  <si>
    <t>Updates risk chart</t>
  </si>
  <si>
    <t>Mastered Competency</t>
  </si>
  <si>
    <t>Basic operations</t>
  </si>
  <si>
    <t>Teacher input based on item analysis.</t>
  </si>
  <si>
    <t>Text</t>
  </si>
  <si>
    <t>Feeds action plan</t>
  </si>
  <si>
    <t>Least Mastered Competency</t>
  </si>
  <si>
    <t>Fractions</t>
  </si>
  <si>
    <t>Priority remediation area.</t>
  </si>
  <si>
    <t>Feeds priority list</t>
  </si>
  <si>
    <t>Upload Report File name</t>
  </si>
  <si>
    <t>Forms file upload JSON/details</t>
  </si>
  <si>
    <t>G1_Math_Report.pdf</t>
  </si>
  <si>
    <t>Yes if upload required</t>
  </si>
  <si>
    <t>If dynamic content returns JSON, extract file name.</t>
  </si>
  <si>
    <t>File/Text</t>
  </si>
  <si>
    <t>Shows proof of submission</t>
  </si>
  <si>
    <t>Upload Report File link</t>
  </si>
  <si>
    <t>https://...</t>
  </si>
  <si>
    <t>Save the secure SharePoint/OneDrive link here.</t>
  </si>
  <si>
    <t>URL</t>
  </si>
  <si>
    <t>Dashboard View File link</t>
  </si>
  <si>
    <t>Manual value</t>
  </si>
  <si>
    <t>Set all new submissions to For Checking first.</t>
  </si>
  <si>
    <t>Blue review status</t>
  </si>
  <si>
    <t>Test submission</t>
  </si>
  <si>
    <t>Teacher notes.</t>
  </si>
  <si>
    <t>Admin context</t>
  </si>
  <si>
    <t>FILE LINK TESTING CHECKLIST
Complete this before giving the submission link to all teachers.</t>
  </si>
  <si>
    <t>Test No.</t>
  </si>
  <si>
    <t>Test Item</t>
  </si>
  <si>
    <t>Expected Result</t>
  </si>
  <si>
    <t>Test Account</t>
  </si>
  <si>
    <t>Date Tested</t>
  </si>
  <si>
    <t>Issue Found</t>
  </si>
  <si>
    <t>Fix / Notes</t>
  </si>
  <si>
    <t>Submit test Microsoft Form response</t>
  </si>
  <si>
    <t>Flow run starts automatically</t>
  </si>
  <si>
    <t>Pending</t>
  </si>
  <si>
    <t>Upload sample PDF report</t>
  </si>
  <si>
    <t>PDF is accepted by Forms</t>
  </si>
  <si>
    <t>Upload sample Excel report</t>
  </si>
  <si>
    <t>Excel is accepted by Forms</t>
  </si>
  <si>
    <t>Power Automate Get response details</t>
  </si>
  <si>
    <t>Uploaded file details are visible</t>
  </si>
  <si>
    <t>Add row into tblAssessmentSubmissions</t>
  </si>
  <si>
    <t>New row appears in workbook</t>
  </si>
  <si>
    <t>UploadedFileLink is saved</t>
  </si>
  <si>
    <t>Link cell is not blank</t>
  </si>
  <si>
    <t>Click View File link in dashboard/table</t>
  </si>
  <si>
    <t>Uploaded file opens</t>
  </si>
  <si>
    <t>Principal account opens link</t>
  </si>
  <si>
    <t>Principal can open file after sign-in</t>
  </si>
  <si>
    <t>Status updates to For Checking</t>
  </si>
  <si>
    <t>Dashboard status turns blue</t>
  </si>
  <si>
    <t>Review accepted submission</t>
  </si>
  <si>
    <t>Status can be changed to Submitted / green</t>
  </si>
  <si>
    <t>Return incorrect submission</t>
  </si>
  <si>
    <t>Status can be changed to Returned / purple</t>
  </si>
  <si>
    <t>Delete or mark test row</t>
  </si>
  <si>
    <t>Test data removed or labeled sample</t>
  </si>
  <si>
    <t>SBFP AND INVENTORY DASHBOARD
Beneficiary nutrition monitoring, feeding attendance, and stock alerts.</t>
  </si>
  <si>
    <t>SBFP Beneficiaries</t>
  </si>
  <si>
    <t>Average Current BMI</t>
  </si>
  <si>
    <t>Average Weight Change</t>
  </si>
  <si>
    <t>BENEFICIARIES</t>
  </si>
  <si>
    <t>AVG CURRENT BMI</t>
  </si>
  <si>
    <t>AVG WEIGHT CHANGE</t>
  </si>
  <si>
    <t>Average Attendance Rate</t>
  </si>
  <si>
    <t>Meals Served</t>
  </si>
  <si>
    <t>Absences</t>
  </si>
  <si>
    <t>Total monitored learners</t>
  </si>
  <si>
    <t>BMI value only</t>
  </si>
  <si>
    <t>kg change from baseline</t>
  </si>
  <si>
    <t>Inventory Items</t>
  </si>
  <si>
    <t>Reorder Items</t>
  </si>
  <si>
    <t>ATTENDANCE RATE</t>
  </si>
  <si>
    <t>MEALS SERVED</t>
  </si>
  <si>
    <t>STOCK ALERTS</t>
  </si>
  <si>
    <t>Out of Stock</t>
  </si>
  <si>
    <t>Total Inventory Value</t>
  </si>
  <si>
    <t>feeding attendance</t>
  </si>
  <si>
    <t>present feeding records</t>
  </si>
  <si>
    <t>Reorder/out-of-stock items</t>
  </si>
  <si>
    <t>BENEFICIARY BMI AND WEIGHT MONITORING</t>
  </si>
  <si>
    <t>INVENTORY REORDER ALERTS</t>
  </si>
  <si>
    <t>Learner</t>
  </si>
  <si>
    <t>Baseline BMI</t>
  </si>
  <si>
    <t>Current BMI</t>
  </si>
  <si>
    <t>Weight Change</t>
  </si>
  <si>
    <t>Attendance</t>
  </si>
  <si>
    <t>Item</t>
  </si>
  <si>
    <t>Category</t>
  </si>
  <si>
    <t>Current Qty</t>
  </si>
  <si>
    <t>Reorder Level</t>
  </si>
  <si>
    <t>Beneficiaries</t>
  </si>
  <si>
    <t>SCHOOL-BASED FEEDING PROGRAM BENEFICIARIES
Height, weight, BMI, attendance summary, and nutritional monitoring.</t>
  </si>
  <si>
    <t>BeneficiaryID</t>
  </si>
  <si>
    <t>BaselineDate</t>
  </si>
  <si>
    <t>BaselineHeight_cm</t>
  </si>
  <si>
    <t>BaselineWeight_kg</t>
  </si>
  <si>
    <t>BaselineBMI</t>
  </si>
  <si>
    <t>CurrentDate</t>
  </si>
  <si>
    <t>CurrentHeight_cm</t>
  </si>
  <si>
    <t>CurrentWeight_kg</t>
  </si>
  <si>
    <t>CurrentBMI</t>
  </si>
  <si>
    <t>WeightChange_kg</t>
  </si>
  <si>
    <t>HeightChange_cm</t>
  </si>
  <si>
    <t>BMIChange</t>
  </si>
  <si>
    <t>FeedingDaysPresent</t>
  </si>
  <si>
    <t>FeedingAttendanceRate</t>
  </si>
  <si>
    <t>LRN-000000000021</t>
  </si>
  <si>
    <t>Learner 021</t>
  </si>
  <si>
    <t>Improving</t>
  </si>
  <si>
    <t>LRN-000000000041</t>
  </si>
  <si>
    <t>Learner 041</t>
  </si>
  <si>
    <t>Monitor attendance</t>
  </si>
  <si>
    <t>Learner 061</t>
  </si>
  <si>
    <t>Good attendance</t>
  </si>
  <si>
    <t>LRN-000000000081</t>
  </si>
  <si>
    <t>Learner 081</t>
  </si>
  <si>
    <t>For follow-up</t>
  </si>
  <si>
    <t>LRN-000000000101</t>
  </si>
  <si>
    <t>Learner 101</t>
  </si>
  <si>
    <t>LRN-000000000121</t>
  </si>
  <si>
    <t>Learner 121</t>
  </si>
  <si>
    <t>Needs monitoring</t>
  </si>
  <si>
    <t>BMI Formula Used:</t>
  </si>
  <si>
    <t>BMI = Weight in kilograms / (Height in meters ^ 2)</t>
  </si>
  <si>
    <t>Important Note:</t>
  </si>
  <si>
    <t>For learners, BMI interpretation should be validated using official age/sex-based nutrition standards. This workbook calculates BMI value and school monitoring indicators only.</t>
  </si>
  <si>
    <t>SBFP DAILY FEEDING ATTENDANCE LOG
Track daily feeding attendance, meals served, and remarks.</t>
  </si>
  <si>
    <t>LogID</t>
  </si>
  <si>
    <t>MealServed</t>
  </si>
  <si>
    <t>Present</t>
  </si>
  <si>
    <t>ReasonIfAbsent</t>
  </si>
  <si>
    <t>DistributedBy</t>
  </si>
  <si>
    <t>TimeServed</t>
  </si>
  <si>
    <t>Month</t>
  </si>
  <si>
    <t>Nutritious Meal Pack</t>
  </si>
  <si>
    <t>SBFP Coordinator</t>
  </si>
  <si>
    <t>9:30 AM</t>
  </si>
  <si>
    <t>Absent</t>
  </si>
  <si>
    <t>SCHOOL INVENTORY AND SBFP STOCK MANAGEMENT
Track school supplies, feeding supplies, stock-in, stock-out, and reorder alerts.</t>
  </si>
  <si>
    <t>ItemID</t>
  </si>
  <si>
    <t>ItemName</t>
  </si>
  <si>
    <t>Unit</t>
  </si>
  <si>
    <t>BeginningQty</t>
  </si>
  <si>
    <t>StockIn</t>
  </si>
  <si>
    <t>StockOut</t>
  </si>
  <si>
    <t>CurrentQty</t>
  </si>
  <si>
    <t>ReorderLevel</t>
  </si>
  <si>
    <t>Location</t>
  </si>
  <si>
    <t>Custodian</t>
  </si>
  <si>
    <t>Supplier/Source</t>
  </si>
  <si>
    <t>UnitCost</t>
  </si>
  <si>
    <t>TotalValue</t>
  </si>
  <si>
    <t>ForProgram</t>
  </si>
  <si>
    <t>SBFP Food</t>
  </si>
  <si>
    <t>Rice</t>
  </si>
  <si>
    <t>kg</t>
  </si>
  <si>
    <t>Feeding Storage</t>
  </si>
  <si>
    <t>School/Donation</t>
  </si>
  <si>
    <t>SBFP</t>
  </si>
  <si>
    <t>Eggs</t>
  </si>
  <si>
    <t>tray</t>
  </si>
  <si>
    <t>Supplier</t>
  </si>
  <si>
    <t>Vegetables</t>
  </si>
  <si>
    <t>Local Supplier</t>
  </si>
  <si>
    <t>SBFP Supplies</t>
  </si>
  <si>
    <t>Food Containers</t>
  </si>
  <si>
    <t>pcs</t>
  </si>
  <si>
    <t>School</t>
  </si>
  <si>
    <t>Office Supply</t>
  </si>
  <si>
    <t>Bond Paper</t>
  </si>
  <si>
    <t>ream</t>
  </si>
  <si>
    <t>Office</t>
  </si>
  <si>
    <t>MOOE</t>
  </si>
  <si>
    <t>General</t>
  </si>
  <si>
    <t>ICT Equipment</t>
  </si>
  <si>
    <t>Printer Ink</t>
  </si>
  <si>
    <t>bottle</t>
  </si>
  <si>
    <t>RequiredReport</t>
  </si>
  <si>
    <t>DateSubmitted</t>
  </si>
  <si>
    <t>ReviewStatus</t>
  </si>
  <si>
    <t>DaysRemaining</t>
  </si>
  <si>
    <t>Exam Results and MPS</t>
  </si>
  <si>
    <t>2026-07-30</t>
  </si>
  <si>
    <t>2026-07-27</t>
  </si>
  <si>
    <t>Approved</t>
  </si>
  <si>
    <t>Complete</t>
  </si>
  <si>
    <t>2026-07-26</t>
  </si>
  <si>
    <t>Needs checking</t>
  </si>
  <si>
    <t>2026-07-20</t>
  </si>
  <si>
    <t>2026-07-25</t>
  </si>
  <si>
    <t>LIS Export</t>
  </si>
  <si>
    <t>LRN-000000000016</t>
  </si>
  <si>
    <t>Learner 016</t>
  </si>
  <si>
    <t>LRN-000000000017</t>
  </si>
  <si>
    <t>Learner 017</t>
  </si>
  <si>
    <t>LRN-000000000018</t>
  </si>
  <si>
    <t>Learner 018</t>
  </si>
  <si>
    <t>LRN-000000000019</t>
  </si>
  <si>
    <t>Learner 019</t>
  </si>
  <si>
    <t>LRN-000000000020</t>
  </si>
  <si>
    <t>Learner 020</t>
  </si>
  <si>
    <t>LRN-000000000022</t>
  </si>
  <si>
    <t>Learner 022</t>
  </si>
  <si>
    <t>LRN-000000000023</t>
  </si>
  <si>
    <t>Learner 023</t>
  </si>
  <si>
    <t>LRN-000000000024</t>
  </si>
  <si>
    <t>Learner 024</t>
  </si>
  <si>
    <t>LRN-000000000025</t>
  </si>
  <si>
    <t>Learner 025</t>
  </si>
  <si>
    <t>LRN-000000000026</t>
  </si>
  <si>
    <t>Learner 026</t>
  </si>
  <si>
    <t>LRN-000000000027</t>
  </si>
  <si>
    <t>Learner 027</t>
  </si>
  <si>
    <t>LRN-000000000028</t>
  </si>
  <si>
    <t>Learner 028</t>
  </si>
  <si>
    <t>LRN-000000000029</t>
  </si>
  <si>
    <t>Learner 029</t>
  </si>
  <si>
    <t>LRN-000000000030</t>
  </si>
  <si>
    <t>Learner 030</t>
  </si>
  <si>
    <t>LRN-000000000031</t>
  </si>
  <si>
    <t>Learner 031</t>
  </si>
  <si>
    <t>LRN-000000000032</t>
  </si>
  <si>
    <t>Learner 032</t>
  </si>
  <si>
    <t>LRN-000000000033</t>
  </si>
  <si>
    <t>Learner 033</t>
  </si>
  <si>
    <t>LRN-000000000034</t>
  </si>
  <si>
    <t>Learner 034</t>
  </si>
  <si>
    <t>LRN-000000000035</t>
  </si>
  <si>
    <t>Learner 035</t>
  </si>
  <si>
    <t>LRN-000000000036</t>
  </si>
  <si>
    <t>Learner 036</t>
  </si>
  <si>
    <t>LRN-000000000037</t>
  </si>
  <si>
    <t>Learner 037</t>
  </si>
  <si>
    <t>LRN-000000000038</t>
  </si>
  <si>
    <t>Learner 038</t>
  </si>
  <si>
    <t>LRN-000000000039</t>
  </si>
  <si>
    <t>Learner 039</t>
  </si>
  <si>
    <t>LRN-000000000040</t>
  </si>
  <si>
    <t>Learner 040</t>
  </si>
  <si>
    <t>LRN-000000000042</t>
  </si>
  <si>
    <t>Learner 042</t>
  </si>
  <si>
    <t>LRN-000000000043</t>
  </si>
  <si>
    <t>Learner 043</t>
  </si>
  <si>
    <t>LRN-000000000044</t>
  </si>
  <si>
    <t>Learner 044</t>
  </si>
  <si>
    <t>LRN-000000000045</t>
  </si>
  <si>
    <t>Learner 045</t>
  </si>
  <si>
    <t>LRN-000000000046</t>
  </si>
  <si>
    <t>Learner 046</t>
  </si>
  <si>
    <t>LRN-000000000047</t>
  </si>
  <si>
    <t>Learner 047</t>
  </si>
  <si>
    <t>LRN-000000000048</t>
  </si>
  <si>
    <t>Learner 048</t>
  </si>
  <si>
    <t>LRN-000000000049</t>
  </si>
  <si>
    <t>Learner 049</t>
  </si>
  <si>
    <t>LRN-000000000050</t>
  </si>
  <si>
    <t>Learner 050</t>
  </si>
  <si>
    <t>Learner 051</t>
  </si>
  <si>
    <t>Learner 052</t>
  </si>
  <si>
    <t>Learner 053</t>
  </si>
  <si>
    <t>Learner 054</t>
  </si>
  <si>
    <t>Learner 055</t>
  </si>
  <si>
    <t>Learner 056</t>
  </si>
  <si>
    <t>Learner 057</t>
  </si>
  <si>
    <t>Learner 058</t>
  </si>
  <si>
    <t>Learner 059</t>
  </si>
  <si>
    <t>Learner 060</t>
  </si>
  <si>
    <t>Learner 062</t>
  </si>
  <si>
    <t>Learner 063</t>
  </si>
  <si>
    <t>Learner 064</t>
  </si>
  <si>
    <t>Learner 065</t>
  </si>
  <si>
    <t>Learner 066</t>
  </si>
  <si>
    <t>Learner 067</t>
  </si>
  <si>
    <t>Learner 068</t>
  </si>
  <si>
    <t>Learner 069</t>
  </si>
  <si>
    <t>Learner 070</t>
  </si>
  <si>
    <t>Learner 071</t>
  </si>
  <si>
    <t>Learner 072</t>
  </si>
  <si>
    <t>Learner 073</t>
  </si>
  <si>
    <t>Learner 074</t>
  </si>
  <si>
    <t>Learner 075</t>
  </si>
  <si>
    <t>LRN-000000000076</t>
  </si>
  <si>
    <t>Learner 076</t>
  </si>
  <si>
    <t>LRN-000000000077</t>
  </si>
  <si>
    <t>Learner 077</t>
  </si>
  <si>
    <t>LRN-000000000078</t>
  </si>
  <si>
    <t>Learner 078</t>
  </si>
  <si>
    <t>LRN-000000000079</t>
  </si>
  <si>
    <t>Learner 079</t>
  </si>
  <si>
    <t>LRN-000000000080</t>
  </si>
  <si>
    <t>Learner 080</t>
  </si>
  <si>
    <t>LRN-000000000082</t>
  </si>
  <si>
    <t>Learner 082</t>
  </si>
  <si>
    <t>LRN-000000000083</t>
  </si>
  <si>
    <t>Learner 083</t>
  </si>
  <si>
    <t>LRN-000000000084</t>
  </si>
  <si>
    <t>Learner 084</t>
  </si>
  <si>
    <t>LRN-000000000085</t>
  </si>
  <si>
    <t>Learner 085</t>
  </si>
  <si>
    <t>LRN-000000000086</t>
  </si>
  <si>
    <t>Learner 086</t>
  </si>
  <si>
    <t>LRN-000000000087</t>
  </si>
  <si>
    <t>Learner 087</t>
  </si>
  <si>
    <t>LRN-000000000088</t>
  </si>
  <si>
    <t>Learner 088</t>
  </si>
  <si>
    <t>LRN-000000000089</t>
  </si>
  <si>
    <t>Learner 089</t>
  </si>
  <si>
    <t>LRN-000000000090</t>
  </si>
  <si>
    <t>Learner 090</t>
  </si>
  <si>
    <t>LRN-000000000091</t>
  </si>
  <si>
    <t>Learner 091</t>
  </si>
  <si>
    <t>LRN-000000000092</t>
  </si>
  <si>
    <t>Learner 092</t>
  </si>
  <si>
    <t>LRN-000000000093</t>
  </si>
  <si>
    <t>Learner 093</t>
  </si>
  <si>
    <t>LRN-000000000094</t>
  </si>
  <si>
    <t>Learner 094</t>
  </si>
  <si>
    <t>LRN-000000000095</t>
  </si>
  <si>
    <t>Learner 095</t>
  </si>
  <si>
    <t>LRN-000000000096</t>
  </si>
  <si>
    <t>Learner 096</t>
  </si>
  <si>
    <t>LRN-000000000097</t>
  </si>
  <si>
    <t>Learner 097</t>
  </si>
  <si>
    <t>LRN-000000000098</t>
  </si>
  <si>
    <t>Learner 098</t>
  </si>
  <si>
    <t>LRN-000000000099</t>
  </si>
  <si>
    <t>Learner 099</t>
  </si>
  <si>
    <t>LRN-000000000100</t>
  </si>
  <si>
    <t>Learner 100</t>
  </si>
  <si>
    <t>LRN-000000000102</t>
  </si>
  <si>
    <t>Learner 102</t>
  </si>
  <si>
    <t>LRN-000000000103</t>
  </si>
  <si>
    <t>Learner 103</t>
  </si>
  <si>
    <t>LRN-000000000104</t>
  </si>
  <si>
    <t>Learner 104</t>
  </si>
  <si>
    <t>LRN-000000000105</t>
  </si>
  <si>
    <t>Learner 105</t>
  </si>
  <si>
    <t>LRN-000000000106</t>
  </si>
  <si>
    <t>Learner 106</t>
  </si>
  <si>
    <t>LRN-000000000107</t>
  </si>
  <si>
    <t>Learner 107</t>
  </si>
  <si>
    <t>LRN-000000000108</t>
  </si>
  <si>
    <t>Learner 108</t>
  </si>
  <si>
    <t>LRN-000000000109</t>
  </si>
  <si>
    <t>Learner 109</t>
  </si>
  <si>
    <t>LRN-000000000110</t>
  </si>
  <si>
    <t>Learner 110</t>
  </si>
  <si>
    <t>LRN-000000000111</t>
  </si>
  <si>
    <t>Learner 111</t>
  </si>
  <si>
    <t>LRN-000000000112</t>
  </si>
  <si>
    <t>Learner 112</t>
  </si>
  <si>
    <t>LRN-000000000113</t>
  </si>
  <si>
    <t>Learner 113</t>
  </si>
  <si>
    <t>LRN-000000000114</t>
  </si>
  <si>
    <t>Learner 114</t>
  </si>
  <si>
    <t>LRN-000000000115</t>
  </si>
  <si>
    <t>Learner 115</t>
  </si>
  <si>
    <t>LRN-000000000116</t>
  </si>
  <si>
    <t>Learner 116</t>
  </si>
  <si>
    <t>LRN-000000000117</t>
  </si>
  <si>
    <t>Learner 117</t>
  </si>
  <si>
    <t>LRN-000000000118</t>
  </si>
  <si>
    <t>Learner 118</t>
  </si>
  <si>
    <t>LRN-000000000119</t>
  </si>
  <si>
    <t>Learner 119</t>
  </si>
  <si>
    <t>LRN-000000000120</t>
  </si>
  <si>
    <t>Learner 120</t>
  </si>
  <si>
    <t>LRN-000000000122</t>
  </si>
  <si>
    <t>Learner 122</t>
  </si>
  <si>
    <t>LRN-000000000123</t>
  </si>
  <si>
    <t>Learner 123</t>
  </si>
  <si>
    <t>LRN-000000000124</t>
  </si>
  <si>
    <t>Learner 124</t>
  </si>
  <si>
    <t>LRN-000000000125</t>
  </si>
  <si>
    <t>Learner 125</t>
  </si>
  <si>
    <t>LRN-000000000126</t>
  </si>
  <si>
    <t>Learner 126</t>
  </si>
  <si>
    <t>LRN-000000000127</t>
  </si>
  <si>
    <t>Learner 127</t>
  </si>
  <si>
    <t>LRN-000000000128</t>
  </si>
  <si>
    <t>Learner 128</t>
  </si>
  <si>
    <t>LRN-000000000129</t>
  </si>
  <si>
    <t>Learner 129</t>
  </si>
  <si>
    <t>LRN-000000000130</t>
  </si>
  <si>
    <t>Learner 130</t>
  </si>
  <si>
    <t>Mastered</t>
  </si>
  <si>
    <t>PriorityNeed</t>
  </si>
  <si>
    <t>Basic recognition</t>
  </si>
  <si>
    <t>Fine motor and directions</t>
  </si>
  <si>
    <t>Low Proficient</t>
  </si>
  <si>
    <t>Primary colors</t>
  </si>
  <si>
    <t>Reading simple words</t>
  </si>
  <si>
    <t>Counting objects</t>
  </si>
  <si>
    <t>Word math stories</t>
  </si>
  <si>
    <t>Respect routines</t>
  </si>
  <si>
    <t>Animal naming</t>
  </si>
  <si>
    <t>Basic vocabulary</t>
  </si>
  <si>
    <t>Comprehension</t>
  </si>
  <si>
    <t>Sentence reading</t>
  </si>
  <si>
    <t>Reading comprehension</t>
  </si>
  <si>
    <t>Basic multiplication</t>
  </si>
  <si>
    <t>Scenario problems</t>
  </si>
  <si>
    <t>Vocabulary</t>
  </si>
  <si>
    <t>Context clues</t>
  </si>
  <si>
    <t>Basic division</t>
  </si>
  <si>
    <t>Long division</t>
  </si>
  <si>
    <t>Living/non-living</t>
  </si>
  <si>
    <t>Scientific vocabulary</t>
  </si>
  <si>
    <t>Basic grammar</t>
  </si>
  <si>
    <t>Story retelling</t>
  </si>
  <si>
    <t>Inference</t>
  </si>
  <si>
    <t>Whole numbers</t>
  </si>
  <si>
    <t>Charts</t>
  </si>
  <si>
    <t>Grammar and sentence structure</t>
  </si>
  <si>
    <t>Sentence structure</t>
  </si>
  <si>
    <t>Writing clarity</t>
  </si>
  <si>
    <t>SyncID</t>
  </si>
  <si>
    <t>UploadFileName</t>
  </si>
  <si>
    <t>SyncDateTime</t>
  </si>
  <si>
    <t>Added</t>
  </si>
  <si>
    <t>Updated</t>
  </si>
  <si>
    <t>ForVerification</t>
  </si>
  <si>
    <t>TotalProcessed</t>
  </si>
  <si>
    <t>ProcessedBy</t>
  </si>
  <si>
    <t>LIS_Export_SY2026_2027.xlsx</t>
  </si>
  <si>
    <t>Completed</t>
  </si>
  <si>
    <t>Initial masterlist sync</t>
  </si>
  <si>
    <t>LIS_Update_July.xlsx</t>
  </si>
  <si>
    <t>Updated sections and active status</t>
  </si>
  <si>
    <t>MAM-ON ELEMENTARY SCHOOL - SYSTEM SETTINGS</t>
  </si>
  <si>
    <t>Meaning</t>
  </si>
  <si>
    <t>Fill Color</t>
  </si>
  <si>
    <t>Text Color</t>
  </si>
  <si>
    <t>Dashboard Order</t>
  </si>
  <si>
    <t>Use</t>
  </si>
  <si>
    <t>Teacher report/grades submitted and complete</t>
  </si>
  <si>
    <t>D1FAE5</t>
  </si>
  <si>
    <t>065F46</t>
  </si>
  <si>
    <t>Pending but not yet overdue</t>
  </si>
  <si>
    <t>FEF3C7</t>
  </si>
  <si>
    <t>92400E</t>
  </si>
  <si>
    <t>Deadline passed and no submission</t>
  </si>
  <si>
    <t>FEE2E2</t>
  </si>
  <si>
    <t>991B1B</t>
  </si>
  <si>
    <t>Submitted and waiting for admin/principal review</t>
  </si>
  <si>
    <t>DBEAFE</t>
  </si>
  <si>
    <t>1D4ED8</t>
  </si>
  <si>
    <t>Returned to teacher for correction</t>
  </si>
  <si>
    <t>EDE9FE</t>
  </si>
  <si>
    <t>5B21B6</t>
  </si>
  <si>
    <t>REPORT GENERATION CENTER</t>
  </si>
  <si>
    <t>Quarterly Class MPS Report</t>
  </si>
  <si>
    <t>Use this for grade-level assessment results.</t>
  </si>
  <si>
    <t>Teacher Submission Summary</t>
  </si>
  <si>
    <t>Use this for principal monitoring.</t>
  </si>
  <si>
    <t>At-Risk Learner Report</t>
  </si>
  <si>
    <t>Use this for intervention planning.</t>
  </si>
  <si>
    <t>LIS Sync Audit Log</t>
  </si>
  <si>
    <t>Use this for student database update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</si>
</sst>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&quot;, &quot;yyyy"/>
    <numFmt numFmtId="165" formatCode="mmm\ d&quot;, &quot;yyyy\ h:mm\ AM/PM"/>
    <numFmt numFmtId="166" formatCode="yyyy\-mm\-dd"/>
    <numFmt numFmtId="167" formatCode="0.0%"/>
    <numFmt numFmtId="168" formatCode="\₱#,##0.00"/>
  </numFmts>
  <fonts count="40" x14ac:knownFonts="1">
    <font>
      <sz val="11"/>
      <color theme="1"/>
      <name val="Calibri"/>
      <family val="2"/>
      <charset val="1"/>
    </font>
    <font>
      <b/>
      <sz val="22"/>
      <color rgb="FFFFFFFF"/>
      <name val="Aptos Display"/>
      <charset val="1"/>
    </font>
    <font>
      <b/>
      <sz val="11"/>
      <color rgb="FF64748B"/>
      <name val="Aptos"/>
      <charset val="1"/>
    </font>
    <font>
      <b/>
      <sz val="11"/>
      <color rgb="FF0F172A"/>
      <name val="Aptos"/>
      <charset val="1"/>
    </font>
    <font>
      <b/>
      <sz val="18"/>
      <color rgb="FF0284C7"/>
      <name val="Aptos"/>
      <charset val="1"/>
    </font>
    <font>
      <b/>
      <sz val="11"/>
      <color rgb="FF0284C7"/>
      <name val="Aptos"/>
      <charset val="1"/>
    </font>
    <font>
      <b/>
      <sz val="18"/>
      <color rgb="FF10B981"/>
      <name val="Aptos"/>
      <charset val="1"/>
    </font>
    <font>
      <b/>
      <sz val="11"/>
      <color rgb="FF10B981"/>
      <name val="Aptos"/>
      <charset val="1"/>
    </font>
    <font>
      <b/>
      <sz val="18"/>
      <color rgb="FF7C3AED"/>
      <name val="Aptos"/>
      <charset val="1"/>
    </font>
    <font>
      <b/>
      <sz val="11"/>
      <color rgb="FF7C3AED"/>
      <name val="Aptos"/>
      <charset val="1"/>
    </font>
    <font>
      <b/>
      <sz val="18"/>
      <color rgb="FFF97316"/>
      <name val="Aptos"/>
      <charset val="1"/>
    </font>
    <font>
      <b/>
      <sz val="11"/>
      <color rgb="FFF97316"/>
      <name val="Aptos"/>
      <charset val="1"/>
    </font>
    <font>
      <b/>
      <sz val="18"/>
      <color rgb="FF0F766E"/>
      <name val="Aptos"/>
      <charset val="1"/>
    </font>
    <font>
      <b/>
      <sz val="11"/>
      <color rgb="FF0F766E"/>
      <name val="Aptos"/>
      <charset val="1"/>
    </font>
    <font>
      <b/>
      <sz val="20"/>
      <color rgb="FF0F172A"/>
      <name val="Aptos Display"/>
      <charset val="1"/>
    </font>
    <font>
      <sz val="9"/>
      <color rgb="FF64748B"/>
      <name val="Aptos"/>
      <charset val="1"/>
    </font>
    <font>
      <b/>
      <sz val="14"/>
      <color rgb="FFFFFFFF"/>
      <name val="Aptos"/>
      <charset val="1"/>
    </font>
    <font>
      <b/>
      <sz val="11"/>
      <color rgb="FFFFFFFF"/>
      <name val="Aptos"/>
      <charset val="1"/>
    </font>
    <font>
      <sz val="10"/>
      <name val="Aptos"/>
      <charset val="1"/>
    </font>
    <font>
      <b/>
      <sz val="11"/>
      <color rgb="FF065F46"/>
      <name val="Aptos"/>
      <charset val="1"/>
    </font>
    <font>
      <b/>
      <sz val="11"/>
      <color rgb="FF92400E"/>
      <name val="Aptos"/>
      <charset val="1"/>
    </font>
    <font>
      <b/>
      <sz val="11"/>
      <color rgb="FF991B1B"/>
      <name val="Aptos"/>
      <charset val="1"/>
    </font>
    <font>
      <b/>
      <sz val="11"/>
      <color rgb="FF1D4ED8"/>
      <name val="Aptos"/>
      <charset val="1"/>
    </font>
    <font>
      <b/>
      <sz val="11"/>
      <color rgb="FF5B21B6"/>
      <name val="Aptos"/>
      <charset val="1"/>
    </font>
    <font>
      <b/>
      <sz val="18"/>
      <color rgb="FF065F46"/>
      <name val="Aptos Display"/>
      <charset val="1"/>
    </font>
    <font>
      <b/>
      <sz val="18"/>
      <color rgb="FF92400E"/>
      <name val="Aptos Display"/>
      <charset val="1"/>
    </font>
    <font>
      <b/>
      <sz val="18"/>
      <color rgb="FF991B1B"/>
      <name val="Aptos Display"/>
      <charset val="1"/>
    </font>
    <font>
      <b/>
      <sz val="18"/>
      <color rgb="FF1D4ED8"/>
      <name val="Aptos Display"/>
      <charset val="1"/>
    </font>
    <font>
      <b/>
      <sz val="18"/>
      <color rgb="FF5B21B6"/>
      <name val="Aptos Display"/>
      <charset val="1"/>
    </font>
    <font>
      <b/>
      <sz val="18"/>
      <color rgb="FF0F766E"/>
      <name val="Aptos Display"/>
      <charset val="1"/>
    </font>
    <font>
      <sz val="11"/>
      <color rgb="FF0F172A"/>
      <name val="Aptos"/>
      <charset val="1"/>
    </font>
    <font>
      <sz val="10"/>
      <name val="Arial"/>
      <family val="2"/>
    </font>
    <font>
      <b/>
      <sz val="18"/>
      <color rgb="FFFFFFFF"/>
      <name val="Aptos Display"/>
      <charset val="1"/>
    </font>
    <font>
      <b/>
      <sz val="11"/>
      <color rgb="FFF59E0B"/>
      <name val="Aptos"/>
      <charset val="1"/>
    </font>
    <font>
      <b/>
      <sz val="11"/>
      <color rgb="FFEF4444"/>
      <name val="Aptos"/>
      <charset val="1"/>
    </font>
    <font>
      <b/>
      <sz val="10"/>
      <color rgb="FFFFFFFF"/>
      <name val="Aptos"/>
      <charset val="1"/>
    </font>
    <font>
      <sz val="11"/>
      <color rgb="FF92400E"/>
      <name val="Aptos"/>
      <charset val="1"/>
    </font>
    <font>
      <sz val="10"/>
      <color rgb="FF1D4ED8"/>
      <name val="Consolas"/>
      <charset val="1"/>
    </font>
    <font>
      <b/>
      <sz val="16"/>
      <color rgb="FFFFFFFF"/>
      <name val="Aptos Display"/>
      <charset val="1"/>
    </font>
    <font>
      <b/>
      <sz val="13"/>
      <color rgb="FF0F172A"/>
      <name val="Aptos"/>
      <charset val="1"/>
    </font>
  </fonts>
  <fills count="18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FFF"/>
        <bgColor rgb="FFF8FAFC"/>
      </patternFill>
    </fill>
    <fill>
      <patternFill patternType="solid">
        <fgColor rgb="FF0284C7"/>
        <bgColor rgb="FF0F766E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FEDD5"/>
      </patternFill>
    </fill>
    <fill>
      <patternFill patternType="solid">
        <fgColor rgb="FFFEE2E2"/>
        <bgColor rgb="FFFFEDD5"/>
      </patternFill>
    </fill>
    <fill>
      <patternFill patternType="solid">
        <fgColor rgb="FFDBEAFE"/>
        <bgColor rgb="FFE2E8F0"/>
      </patternFill>
    </fill>
    <fill>
      <patternFill patternType="solid">
        <fgColor rgb="FFEDE9FE"/>
        <bgColor rgb="FFE2E8F0"/>
      </patternFill>
    </fill>
    <fill>
      <patternFill patternType="solid">
        <fgColor rgb="FFCCFBF1"/>
        <bgColor rgb="FFD1FAE5"/>
      </patternFill>
    </fill>
    <fill>
      <patternFill patternType="solid">
        <fgColor rgb="FFF8FAFC"/>
        <bgColor rgb="FFFFFFFF"/>
      </patternFill>
    </fill>
    <fill>
      <patternFill patternType="solid">
        <fgColor rgb="FF0F766E"/>
        <bgColor rgb="FF065F46"/>
      </patternFill>
    </fill>
    <fill>
      <patternFill patternType="solid">
        <fgColor rgb="FF7C3AED"/>
        <bgColor rgb="FF5B21B6"/>
      </patternFill>
    </fill>
    <fill>
      <patternFill patternType="solid">
        <fgColor rgb="FFFFEDD5"/>
        <bgColor rgb="FFFEF3C7"/>
      </patternFill>
    </fill>
    <fill>
      <patternFill patternType="solid">
        <fgColor rgb="FFF97316"/>
        <bgColor rgb="FFF59E0B"/>
      </patternFill>
    </fill>
    <fill>
      <patternFill patternType="solid">
        <fgColor rgb="FF10B981"/>
        <bgColor rgb="FF33CCCC"/>
      </patternFill>
    </fill>
    <fill>
      <patternFill patternType="solid">
        <fgColor rgb="FFE0F2FE"/>
        <bgColor rgb="FFDBEAFE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284C7"/>
      </bottom>
      <diagonal/>
    </border>
    <border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" fontId="14" fillId="3" borderId="2" xfId="0" applyNumberFormat="1" applyFont="1" applyFill="1" applyBorder="1" applyAlignment="1">
      <alignment horizontal="center"/>
    </xf>
    <xf numFmtId="1" fontId="14" fillId="3" borderId="3" xfId="0" applyNumberFormat="1" applyFont="1" applyFill="1" applyBorder="1" applyAlignment="1">
      <alignment horizontal="center"/>
    </xf>
    <xf numFmtId="10" fontId="14" fillId="3" borderId="4" xfId="0" applyNumberFormat="1" applyFont="1" applyFill="1" applyBorder="1" applyAlignment="1">
      <alignment horizontal="center"/>
    </xf>
    <xf numFmtId="1" fontId="14" fillId="3" borderId="5" xfId="0" applyNumberFormat="1" applyFont="1" applyFill="1" applyBorder="1" applyAlignment="1">
      <alignment horizontal="center"/>
    </xf>
    <xf numFmtId="10" fontId="14" fillId="3" borderId="6" xfId="0" applyNumberFormat="1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/>
    </xf>
    <xf numFmtId="0" fontId="18" fillId="0" borderId="7" xfId="0" applyFont="1" applyBorder="1" applyAlignment="1">
      <alignment vertical="center"/>
    </xf>
    <xf numFmtId="164" fontId="18" fillId="0" borderId="7" xfId="0" applyNumberFormat="1" applyFont="1" applyBorder="1" applyAlignment="1">
      <alignment vertical="center"/>
    </xf>
    <xf numFmtId="10" fontId="3" fillId="0" borderId="0" xfId="0" applyNumberFormat="1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10" fontId="29" fillId="3" borderId="0" xfId="0" applyNumberFormat="1" applyFont="1" applyFill="1" applyAlignment="1">
      <alignment horizontal="center"/>
    </xf>
    <xf numFmtId="0" fontId="17" fillId="4" borderId="7" xfId="0" applyFont="1" applyFill="1" applyBorder="1" applyAlignment="1">
      <alignment vertical="center"/>
    </xf>
    <xf numFmtId="0" fontId="17" fillId="12" borderId="0" xfId="0" applyFont="1" applyFill="1" applyAlignment="1">
      <alignment horizontal="center" wrapText="1"/>
    </xf>
    <xf numFmtId="165" fontId="18" fillId="0" borderId="7" xfId="0" applyNumberFormat="1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10" fontId="18" fillId="0" borderId="7" xfId="0" applyNumberFormat="1" applyFont="1" applyBorder="1" applyAlignment="1">
      <alignment vertical="center" wrapText="1"/>
    </xf>
    <xf numFmtId="0" fontId="5" fillId="3" borderId="2" xfId="0" applyFont="1" applyFill="1" applyBorder="1"/>
    <xf numFmtId="0" fontId="0" fillId="3" borderId="2" xfId="0" applyFill="1" applyBorder="1"/>
    <xf numFmtId="0" fontId="7" fillId="3" borderId="3" xfId="0" applyFont="1" applyFill="1" applyBorder="1"/>
    <xf numFmtId="0" fontId="0" fillId="3" borderId="3" xfId="0" applyFill="1" applyBorder="1"/>
    <xf numFmtId="0" fontId="33" fillId="3" borderId="9" xfId="0" applyFont="1" applyFill="1" applyBorder="1"/>
    <xf numFmtId="0" fontId="0" fillId="3" borderId="9" xfId="0" applyFill="1" applyBorder="1"/>
    <xf numFmtId="0" fontId="34" fillId="3" borderId="10" xfId="0" applyFont="1" applyFill="1" applyBorder="1"/>
    <xf numFmtId="0" fontId="0" fillId="3" borderId="10" xfId="0" applyFill="1" applyBorder="1"/>
    <xf numFmtId="0" fontId="11" fillId="3" borderId="5" xfId="0" applyFont="1" applyFill="1" applyBorder="1"/>
    <xf numFmtId="0" fontId="0" fillId="3" borderId="5" xfId="0" applyFill="1" applyBorder="1"/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3" borderId="2" xfId="0" applyFont="1" applyFill="1" applyBorder="1"/>
    <xf numFmtId="0" fontId="15" fillId="3" borderId="3" xfId="0" applyFont="1" applyFill="1" applyBorder="1"/>
    <xf numFmtId="0" fontId="15" fillId="3" borderId="9" xfId="0" applyFont="1" applyFill="1" applyBorder="1"/>
    <xf numFmtId="0" fontId="15" fillId="3" borderId="10" xfId="0" applyFont="1" applyFill="1" applyBorder="1"/>
    <xf numFmtId="0" fontId="15" fillId="3" borderId="5" xfId="0" applyFont="1" applyFill="1" applyBorder="1"/>
    <xf numFmtId="0" fontId="35" fillId="12" borderId="7" xfId="0" applyFont="1" applyFill="1" applyBorder="1" applyAlignment="1">
      <alignment horizontal="center" vertical="center" wrapText="1"/>
    </xf>
    <xf numFmtId="164" fontId="18" fillId="0" borderId="7" xfId="0" applyNumberFormat="1" applyFont="1" applyBorder="1" applyAlignment="1">
      <alignment vertical="center" wrapText="1"/>
    </xf>
    <xf numFmtId="0" fontId="35" fillId="13" borderId="7" xfId="0" applyFont="1" applyFill="1" applyBorder="1" applyAlignment="1">
      <alignment horizontal="center" vertical="center" wrapText="1"/>
    </xf>
    <xf numFmtId="166" fontId="0" fillId="0" borderId="0" xfId="0" applyNumberFormat="1"/>
    <xf numFmtId="0" fontId="17" fillId="12" borderId="0" xfId="0" applyFont="1" applyFill="1" applyAlignment="1">
      <alignment horizontal="center"/>
    </xf>
    <xf numFmtId="0" fontId="22" fillId="8" borderId="0" xfId="0" applyFont="1" applyFill="1" applyProtection="1">
      <protection locked="0"/>
    </xf>
    <xf numFmtId="0" fontId="9" fillId="3" borderId="4" xfId="0" applyFont="1" applyFill="1" applyBorder="1"/>
    <xf numFmtId="0" fontId="0" fillId="3" borderId="4" xfId="0" applyFill="1" applyBorder="1"/>
    <xf numFmtId="0" fontId="13" fillId="3" borderId="6" xfId="0" applyFont="1" applyFill="1" applyBorder="1"/>
    <xf numFmtId="0" fontId="0" fillId="3" borderId="6" xfId="0" applyFill="1" applyBorder="1"/>
    <xf numFmtId="0" fontId="14" fillId="3" borderId="4" xfId="0" applyFont="1" applyFill="1" applyBorder="1" applyAlignment="1">
      <alignment horizontal="center"/>
    </xf>
    <xf numFmtId="0" fontId="15" fillId="3" borderId="4" xfId="0" applyFont="1" applyFill="1" applyBorder="1"/>
    <xf numFmtId="0" fontId="15" fillId="3" borderId="6" xfId="0" applyFont="1" applyFill="1" applyBorder="1"/>
    <xf numFmtId="0" fontId="18" fillId="0" borderId="0" xfId="0" applyFont="1"/>
    <xf numFmtId="0" fontId="35" fillId="4" borderId="7" xfId="0" applyFont="1" applyFill="1" applyBorder="1" applyAlignment="1">
      <alignment horizontal="center" vertical="center" wrapText="1"/>
    </xf>
    <xf numFmtId="0" fontId="18" fillId="0" borderId="7" xfId="0" applyFont="1" applyBorder="1"/>
    <xf numFmtId="10" fontId="18" fillId="0" borderId="7" xfId="0" applyNumberFormat="1" applyFont="1" applyBorder="1"/>
    <xf numFmtId="0" fontId="35" fillId="12" borderId="0" xfId="0" applyFont="1" applyFill="1" applyAlignment="1">
      <alignment horizontal="center" vertical="center" wrapText="1"/>
    </xf>
    <xf numFmtId="0" fontId="37" fillId="0" borderId="0" xfId="0" applyFont="1"/>
    <xf numFmtId="0" fontId="17" fillId="13" borderId="0" xfId="0" applyFont="1" applyFill="1" applyAlignment="1">
      <alignment horizontal="center" wrapText="1"/>
    </xf>
    <xf numFmtId="0" fontId="17" fillId="4" borderId="0" xfId="0" applyFont="1" applyFill="1" applyAlignment="1">
      <alignment horizontal="center" wrapText="1"/>
    </xf>
    <xf numFmtId="0" fontId="17" fillId="15" borderId="0" xfId="0" applyFont="1" applyFill="1" applyAlignment="1">
      <alignment horizontal="center" wrapText="1"/>
    </xf>
    <xf numFmtId="0" fontId="14" fillId="3" borderId="6" xfId="0" applyFont="1" applyFill="1" applyBorder="1" applyAlignment="1">
      <alignment horizontal="center"/>
    </xf>
    <xf numFmtId="2" fontId="14" fillId="3" borderId="2" xfId="0" applyNumberFormat="1" applyFont="1" applyFill="1" applyBorder="1" applyAlignment="1">
      <alignment horizontal="center"/>
    </xf>
    <xf numFmtId="2" fontId="14" fillId="3" borderId="3" xfId="0" applyNumberFormat="1" applyFont="1" applyFill="1" applyBorder="1" applyAlignment="1">
      <alignment horizontal="center"/>
    </xf>
    <xf numFmtId="167" fontId="14" fillId="3" borderId="5" xfId="0" applyNumberFormat="1" applyFont="1" applyFill="1" applyBorder="1" applyAlignment="1">
      <alignment horizontal="center"/>
    </xf>
    <xf numFmtId="2" fontId="18" fillId="0" borderId="7" xfId="0" applyNumberFormat="1" applyFont="1" applyBorder="1" applyAlignment="1">
      <alignment vertical="center"/>
    </xf>
    <xf numFmtId="167" fontId="18" fillId="0" borderId="7" xfId="0" applyNumberFormat="1" applyFont="1" applyBorder="1" applyAlignment="1">
      <alignment vertical="center"/>
    </xf>
    <xf numFmtId="0" fontId="0" fillId="0" borderId="7" xfId="0" applyBorder="1"/>
    <xf numFmtId="2" fontId="18" fillId="0" borderId="7" xfId="0" applyNumberFormat="1" applyFont="1" applyBorder="1" applyAlignment="1">
      <alignment vertical="center" wrapText="1"/>
    </xf>
    <xf numFmtId="167" fontId="18" fillId="0" borderId="7" xfId="0" applyNumberFormat="1" applyFont="1" applyBorder="1" applyAlignment="1">
      <alignment vertical="center" wrapText="1"/>
    </xf>
    <xf numFmtId="0" fontId="34" fillId="0" borderId="0" xfId="0" applyFont="1"/>
    <xf numFmtId="0" fontId="0" fillId="0" borderId="0" xfId="0" applyAlignment="1">
      <alignment wrapText="1"/>
    </xf>
    <xf numFmtId="0" fontId="35" fillId="16" borderId="7" xfId="0" applyFont="1" applyFill="1" applyBorder="1" applyAlignment="1">
      <alignment horizontal="center" vertical="center" wrapText="1"/>
    </xf>
    <xf numFmtId="168" fontId="18" fillId="0" borderId="7" xfId="0" applyNumberFormat="1" applyFont="1" applyBorder="1" applyAlignment="1">
      <alignment vertical="center" wrapText="1"/>
    </xf>
    <xf numFmtId="0" fontId="17" fillId="2" borderId="0" xfId="0" applyFont="1" applyFill="1" applyAlignment="1">
      <alignment horizontal="center"/>
    </xf>
    <xf numFmtId="0" fontId="17" fillId="16" borderId="0" xfId="0" applyFont="1" applyFill="1"/>
    <xf numFmtId="166" fontId="18" fillId="0" borderId="7" xfId="0" applyNumberFormat="1" applyFont="1" applyBorder="1"/>
    <xf numFmtId="0" fontId="17" fillId="13" borderId="0" xfId="0" applyFont="1" applyFill="1"/>
    <xf numFmtId="0" fontId="17" fillId="12" borderId="0" xfId="0" applyFont="1" applyFill="1"/>
    <xf numFmtId="165" fontId="18" fillId="0" borderId="7" xfId="0" applyNumberFormat="1" applyFont="1" applyBorder="1"/>
    <xf numFmtId="0" fontId="0" fillId="0" borderId="7" xfId="0" applyBorder="1" applyAlignment="1">
      <alignment vertical="center"/>
    </xf>
    <xf numFmtId="0" fontId="39" fillId="17" borderId="8" xfId="0" applyFont="1" applyFill="1" applyBorder="1" applyAlignment="1">
      <alignment horizontal="center"/>
    </xf>
    <xf numFmtId="0" fontId="32" fillId="4" borderId="0" xfId="0" applyFont="1" applyFill="1" applyAlignment="1">
      <alignment horizontal="left" vertical="center" wrapText="1"/>
    </xf>
    <xf numFmtId="0" fontId="17" fillId="2" borderId="0" xfId="0" applyFont="1" applyFill="1"/>
    <xf numFmtId="0" fontId="22" fillId="8" borderId="0" xfId="0" applyFont="1" applyFill="1" applyAlignment="1">
      <alignment vertical="center" wrapText="1"/>
    </xf>
    <xf numFmtId="0" fontId="20" fillId="6" borderId="0" xfId="0" applyFont="1" applyFill="1" applyAlignment="1">
      <alignment vertical="center" wrapText="1"/>
    </xf>
    <xf numFmtId="0" fontId="16" fillId="2" borderId="0" xfId="0" applyFont="1" applyFill="1"/>
    <xf numFmtId="0" fontId="30" fillId="11" borderId="8" xfId="0" applyFont="1" applyFill="1" applyBorder="1" applyAlignment="1">
      <alignment vertical="top" wrapText="1"/>
    </xf>
    <xf numFmtId="0" fontId="13" fillId="10" borderId="0" xfId="0" applyFont="1" applyFill="1" applyAlignment="1">
      <alignment vertical="top" wrapText="1"/>
    </xf>
    <xf numFmtId="0" fontId="13" fillId="1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2" fillId="12" borderId="0" xfId="0" applyFont="1" applyFill="1" applyAlignment="1">
      <alignment horizontal="left" vertical="center" wrapText="1"/>
    </xf>
    <xf numFmtId="0" fontId="32" fillId="13" borderId="0" xfId="0" applyFont="1" applyFill="1" applyAlignment="1">
      <alignment horizontal="left" vertical="center" wrapText="1"/>
    </xf>
    <xf numFmtId="0" fontId="20" fillId="6" borderId="0" xfId="0" applyFont="1" applyFill="1" applyAlignment="1">
      <alignment vertical="top" wrapText="1"/>
    </xf>
    <xf numFmtId="0" fontId="32" fillId="2" borderId="0" xfId="0" applyFont="1" applyFill="1" applyAlignment="1">
      <alignment horizontal="left" vertical="center"/>
    </xf>
    <xf numFmtId="0" fontId="32" fillId="12" borderId="1" xfId="0" applyFont="1" applyFill="1" applyBorder="1" applyAlignment="1">
      <alignment horizontal="left" vertical="center" wrapText="1"/>
    </xf>
    <xf numFmtId="0" fontId="36" fillId="14" borderId="0" xfId="0" applyFont="1" applyFill="1" applyAlignment="1">
      <alignment vertical="top" wrapText="1"/>
    </xf>
    <xf numFmtId="0" fontId="32" fillId="13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vertical="top" wrapText="1"/>
    </xf>
    <xf numFmtId="0" fontId="32" fillId="4" borderId="1" xfId="0" applyFont="1" applyFill="1" applyBorder="1" applyAlignment="1">
      <alignment horizontal="left" vertical="center" wrapText="1"/>
    </xf>
    <xf numFmtId="0" fontId="37" fillId="0" borderId="0" xfId="0" applyFont="1"/>
    <xf numFmtId="0" fontId="32" fillId="16" borderId="1" xfId="0" applyFont="1" applyFill="1" applyBorder="1" applyAlignment="1">
      <alignment horizontal="left" vertical="center" wrapText="1"/>
    </xf>
    <xf numFmtId="0" fontId="38" fillId="2" borderId="0" xfId="0" applyFont="1" applyFill="1"/>
    <xf numFmtId="0" fontId="32" fillId="2" borderId="0" xfId="0" applyFont="1" applyFill="1"/>
  </cellXfs>
  <cellStyles count="1">
    <cellStyle name="Normal" xfId="0" builtinId="0"/>
  </cellStyles>
  <dxfs count="50">
    <dxf>
      <font>
        <b/>
        <color rgb="FF5B21B6"/>
      </font>
      <fill>
        <patternFill>
          <bgColor rgb="FFEDE9FE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065F46"/>
      </font>
      <fill>
        <patternFill>
          <bgColor rgb="FFD1FAE5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5B21B6"/>
      </font>
      <fill>
        <patternFill>
          <bgColor rgb="FFEDE9FE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5B21B6"/>
      </font>
      <fill>
        <patternFill>
          <bgColor rgb="FFEDE9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5B21B6"/>
      </font>
      <fill>
        <patternFill>
          <bgColor rgb="FFEDE9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D4ED8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D4ED8"/>
      </font>
      <fill>
        <patternFill>
          <bgColor rgb="FFDBEAFE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065F46"/>
      </font>
      <fill>
        <patternFill>
          <bgColor rgb="FF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AFC"/>
      <rgbColor rgb="FFFF00FF"/>
      <rgbColor rgb="FF00FFFF"/>
      <rgbColor rgb="FF991B1B"/>
      <rgbColor rgb="FF008000"/>
      <rgbColor rgb="FF000080"/>
      <rgbColor rgb="FF808000"/>
      <rgbColor rgb="FF800080"/>
      <rgbColor rgb="FF0F766E"/>
      <rgbColor rgb="FFB3B3B3"/>
      <rgbColor rgb="FF878787"/>
      <rgbColor rgb="FF9999FF"/>
      <rgbColor rgb="FF7C3AED"/>
      <rgbColor rgb="FFFEF3C7"/>
      <rgbColor rgb="FFCCFBF1"/>
      <rgbColor rgb="FF660066"/>
      <rgbColor rgb="FFFF8080"/>
      <rgbColor rgb="FF0284C7"/>
      <rgbColor rgb="FFD9D9D9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0F2FE"/>
      <rgbColor rgb="FFD1FAE5"/>
      <rgbColor rgb="FFFFEDD5"/>
      <rgbColor rgb="FFDBEAFE"/>
      <rgbColor rgb="FFEDE9FE"/>
      <rgbColor rgb="FFE2E8F0"/>
      <rgbColor rgb="FFFEE2E2"/>
      <rgbColor rgb="FF1D4ED8"/>
      <rgbColor rgb="FF33CCCC"/>
      <rgbColor rgb="FF99CC00"/>
      <rgbColor rgb="FFFFCC00"/>
      <rgbColor rgb="FFF59E0B"/>
      <rgbColor rgb="FFF97316"/>
      <rgbColor rgb="FF64748B"/>
      <rgbColor rgb="FF4F81BD"/>
      <rgbColor rgb="FF003366"/>
      <rgbColor rgb="FF10B981"/>
      <rgbColor rgb="FF0F172A"/>
      <rgbColor rgb="FF333300"/>
      <rgbColor rgb="FF92400E"/>
      <rgbColor rgb="FFEF4444"/>
      <rgbColor rgb="FF5B21B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Grade-Level Average MPS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Dashboard!$H$12:$N$12</c:f>
              <c:strCache>
                <c:ptCount val="7"/>
                <c:pt idx="0">
                  <c:v>Kinder</c:v>
                </c:pt>
                <c:pt idx="1">
                  <c:v>Grade 1</c:v>
                </c:pt>
                <c:pt idx="2">
                  <c:v>Grade 2</c:v>
                </c:pt>
                <c:pt idx="3">
                  <c:v>Grade 3</c:v>
                </c:pt>
                <c:pt idx="4">
                  <c:v>Grade 4</c:v>
                </c:pt>
                <c:pt idx="5">
                  <c:v>Grade 5</c:v>
                </c:pt>
                <c:pt idx="6">
                  <c:v>Grade 6</c:v>
                </c:pt>
              </c:strCache>
            </c:strRef>
          </c:cat>
          <c:val>
            <c:numRef>
              <c:f>Dashboard!$H$13:$N$13</c:f>
              <c:numCache>
                <c:formatCode>0.00%</c:formatCode>
                <c:ptCount val="7"/>
                <c:pt idx="0">
                  <c:v>0.58299999999999996</c:v>
                </c:pt>
                <c:pt idx="1">
                  <c:v>0.5</c:v>
                </c:pt>
                <c:pt idx="2">
                  <c:v>0.42666666666666669</c:v>
                </c:pt>
                <c:pt idx="3">
                  <c:v>0.63</c:v>
                </c:pt>
                <c:pt idx="4">
                  <c:v>0.47666666666666663</c:v>
                </c:pt>
                <c:pt idx="5">
                  <c:v>0.48883333333333329</c:v>
                </c:pt>
                <c:pt idx="6">
                  <c:v>0.46666666666666662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0DC-8D1F-E3DA5E2A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15915"/>
        <c:axId val="43993739"/>
      </c:barChart>
      <c:catAx>
        <c:axId val="189159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993739"/>
        <c:crosses val="autoZero"/>
        <c:auto val="1"/>
        <c:lblAlgn val="ctr"/>
        <c:lblOffset val="100"/>
        <c:noMultiLvlLbl val="0"/>
      </c:catAx>
      <c:valAx>
        <c:axId val="43993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89159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Subject MPS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0-1596-4472-A6D5-384CA38B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98649"/>
        <c:axId val="9814467"/>
      </c:barChart>
      <c:catAx>
        <c:axId val="1719864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14467"/>
        <c:crosses val="autoZero"/>
        <c:auto val="1"/>
        <c:lblAlgn val="ctr"/>
        <c:lblOffset val="100"/>
        <c:noMultiLvlLbl val="0"/>
      </c:catAx>
      <c:valAx>
        <c:axId val="98144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71986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At-Risk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0-DA57-4A0E-BF4F-DD0153846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94146"/>
        <c:axId val="21490281"/>
      </c:barChart>
      <c:catAx>
        <c:axId val="45594146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490281"/>
        <c:crosses val="autoZero"/>
        <c:auto val="1"/>
        <c:lblAlgn val="ctr"/>
        <c:lblOffset val="100"/>
        <c:noMultiLvlLbl val="0"/>
      </c:catAx>
      <c:valAx>
        <c:axId val="21490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55941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Active Learners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Enrollment_Dashboard!$C$12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Enrollment_Dashboard!$B$13:$B$19</c:f>
              <c:strCache>
                <c:ptCount val="7"/>
                <c:pt idx="0">
                  <c:v>KAMAGONG</c:v>
                </c:pt>
                <c:pt idx="1">
                  <c:v>MAGKONO</c:v>
                </c:pt>
                <c:pt idx="2">
                  <c:v>NARRA</c:v>
                </c:pt>
                <c:pt idx="3">
                  <c:v>TOOG</c:v>
                </c:pt>
                <c:pt idx="4">
                  <c:v>TUGAS</c:v>
                </c:pt>
                <c:pt idx="5">
                  <c:v>LAUAAN</c:v>
                </c:pt>
                <c:pt idx="6">
                  <c:v>YAKAL</c:v>
                </c:pt>
              </c:strCache>
            </c:strRef>
          </c:cat>
          <c:val>
            <c:numRef>
              <c:f>Enrollment_Dashboard!$C$13:$C$19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21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2-47E2-A9F5-490F21E6B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96557"/>
        <c:axId val="5543655"/>
      </c:barChart>
      <c:catAx>
        <c:axId val="988965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43655"/>
        <c:crosses val="autoZero"/>
        <c:auto val="1"/>
        <c:lblAlgn val="ctr"/>
        <c:lblOffset val="100"/>
        <c:noMultiLvlLbl val="0"/>
      </c:catAx>
      <c:valAx>
        <c:axId val="55436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8965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My Subject Average MPS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Teacher_View_Dashboard!$C$44</c:f>
              <c:strCache>
                <c:ptCount val="1"/>
                <c:pt idx="0">
                  <c:v>Average MPS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Teacher_View_Dashboard!$A$45:$A$50</c:f>
              <c:strCache>
                <c:ptCount val="6"/>
                <c:pt idx="0">
                  <c:v>English</c:v>
                </c:pt>
                <c:pt idx="1">
                  <c:v>Filipino</c:v>
                </c:pt>
                <c:pt idx="2">
                  <c:v>Mathematics</c:v>
                </c:pt>
                <c:pt idx="3">
                  <c:v>Science</c:v>
                </c:pt>
                <c:pt idx="4">
                  <c:v>GMRC</c:v>
                </c:pt>
                <c:pt idx="5">
                  <c:v>Readiness</c:v>
                </c:pt>
              </c:strCache>
            </c:strRef>
          </c:cat>
          <c:val>
            <c:numRef>
              <c:f>Teacher_View_Dashboard!$C$45:$C$50</c:f>
              <c:numCache>
                <c:formatCode>0.00%</c:formatCode>
                <c:ptCount val="6"/>
                <c:pt idx="0">
                  <c:v>0.72399999999999998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0-456F-A156-28EA9E081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36376"/>
        <c:axId val="69123679"/>
      </c:barChart>
      <c:catAx>
        <c:axId val="81436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9123679"/>
        <c:crosses val="autoZero"/>
        <c:auto val="1"/>
        <c:lblAlgn val="ctr"/>
        <c:lblOffset val="100"/>
        <c:noMultiLvlLbl val="0"/>
      </c:catAx>
      <c:valAx>
        <c:axId val="69123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4363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SBFP Beneficiaries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SBFP_Dashboard!$B$27</c:f>
              <c:strCache>
                <c:ptCount val="1"/>
                <c:pt idx="0">
                  <c:v>Beneficiaries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SBFP_Dashboard!$A$28:$A$34</c:f>
              <c:strCache>
                <c:ptCount val="7"/>
                <c:pt idx="0">
                  <c:v>Kinder</c:v>
                </c:pt>
                <c:pt idx="1">
                  <c:v>Grade 1</c:v>
                </c:pt>
                <c:pt idx="2">
                  <c:v>Grade 2</c:v>
                </c:pt>
                <c:pt idx="3">
                  <c:v>Grade 3</c:v>
                </c:pt>
                <c:pt idx="4">
                  <c:v>Grade 4</c:v>
                </c:pt>
                <c:pt idx="5">
                  <c:v>Grade 5</c:v>
                </c:pt>
                <c:pt idx="6">
                  <c:v>Grade 6</c:v>
                </c:pt>
              </c:strCache>
            </c:strRef>
          </c:cat>
          <c:val>
            <c:numRef>
              <c:f>SBFP_Dashboard!$B$28:$B$34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B-4E7E-A1FA-37A4E95BC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26979"/>
        <c:axId val="87119266"/>
      </c:barChart>
      <c:catAx>
        <c:axId val="90426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119266"/>
        <c:crosses val="autoZero"/>
        <c:auto val="1"/>
        <c:lblAlgn val="ctr"/>
        <c:lblOffset val="100"/>
        <c:noMultiLvlLbl val="0"/>
      </c:catAx>
      <c:valAx>
        <c:axId val="87119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04269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</xdr:row>
      <xdr:rowOff>0</xdr:rowOff>
    </xdr:from>
    <xdr:to>
      <xdr:col>12</xdr:col>
      <xdr:colOff>401760</xdr:colOff>
      <xdr:row>22</xdr:row>
      <xdr:rowOff>79920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3</xdr:col>
      <xdr:colOff>872280</xdr:colOff>
      <xdr:row>33</xdr:row>
      <xdr:rowOff>80280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401760</xdr:colOff>
      <xdr:row>33</xdr:row>
      <xdr:rowOff>80280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14</xdr:col>
      <xdr:colOff>402120</xdr:colOff>
      <xdr:row>19</xdr:row>
      <xdr:rowOff>135720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42</xdr:row>
      <xdr:rowOff>0</xdr:rowOff>
    </xdr:from>
    <xdr:to>
      <xdr:col>11</xdr:col>
      <xdr:colOff>590400</xdr:colOff>
      <xdr:row>50</xdr:row>
      <xdr:rowOff>80280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26</xdr:row>
      <xdr:rowOff>0</xdr:rowOff>
    </xdr:from>
    <xdr:to>
      <xdr:col>7</xdr:col>
      <xdr:colOff>590400</xdr:colOff>
      <xdr:row>34</xdr:row>
      <xdr:rowOff>79920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blStudentMasterlist" displayName="tblStudentMasterlist" ref="A5:W230" totalsRowShown="0">
  <autoFilter ref="A5:W230" xr:uid="{00000000-0009-0000-0100-00000E000000}"/>
  <tableColumns count="23">
    <tableColumn id="1" xr3:uid="{00000000-0010-0000-0000-000001000000}" name="StudentID"/>
    <tableColumn id="2" xr3:uid="{00000000-0010-0000-0000-000002000000}" name="LRN"/>
    <tableColumn id="3" xr3:uid="{00000000-0010-0000-0000-000003000000}" name="LastName"/>
    <tableColumn id="4" xr3:uid="{00000000-0010-0000-0000-000004000000}" name="FirstName"/>
    <tableColumn id="5" xr3:uid="{00000000-0010-0000-0000-000005000000}" name="MiddleName"/>
    <tableColumn id="6" xr3:uid="{00000000-0010-0000-0000-000006000000}" name="FullName"/>
    <tableColumn id="7" xr3:uid="{00000000-0010-0000-0000-000007000000}" name="Sex"/>
    <tableColumn id="8" xr3:uid="{00000000-0010-0000-0000-000008000000}" name="Birthdate"/>
    <tableColumn id="9" xr3:uid="{00000000-0010-0000-0000-000009000000}" name="Age"/>
    <tableColumn id="10" xr3:uid="{00000000-0010-0000-0000-00000A000000}" name="GradeLevel"/>
    <tableColumn id="11" xr3:uid="{00000000-0010-0000-0000-00000B000000}" name="Section"/>
    <tableColumn id="12" xr3:uid="{00000000-0010-0000-0000-00000C000000}" name="Adviser"/>
    <tableColumn id="13" xr3:uid="{00000000-0010-0000-0000-00000D000000}" name="SchoolYear"/>
    <tableColumn id="14" xr3:uid="{00000000-0010-0000-0000-00000E000000}" name="EnrollmentStatus"/>
    <tableColumn id="15" xr3:uid="{00000000-0010-0000-0000-00000F000000}" name="DateEnrolled"/>
    <tableColumn id="16" xr3:uid="{00000000-0010-0000-0000-000010000000}" name="GuardianName"/>
    <tableColumn id="17" xr3:uid="{00000000-0010-0000-0000-000011000000}" name="GuardianContact"/>
    <tableColumn id="18" xr3:uid="{00000000-0010-0000-0000-000012000000}" name="Address"/>
    <tableColumn id="19" xr3:uid="{00000000-0010-0000-0000-000013000000}" name="LIS_Status"/>
    <tableColumn id="20" xr3:uid="{00000000-0010-0000-0000-000014000000}" name="LastUpdated"/>
    <tableColumn id="21" xr3:uid="{00000000-0010-0000-0000-000015000000}" name="Source"/>
    <tableColumn id="22" xr3:uid="{00000000-0010-0000-0000-000016000000}" name="Remarks"/>
    <tableColumn id="23" xr3:uid="{00000000-0010-0000-0000-000017000000}" name="DataChec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blStudentDataInstructions" displayName="tblStudentDataInstructions" ref="A5:E11" totalsRowShown="0">
  <autoFilter ref="A5:E11" xr:uid="{00000000-0009-0000-0100-00000D000000}"/>
  <tableColumns count="5">
    <tableColumn id="1" xr3:uid="{00000000-0010-0000-0100-000001000000}" name="Step"/>
    <tableColumn id="2" xr3:uid="{00000000-0010-0000-0100-000002000000}" name="Action"/>
    <tableColumn id="3" xr3:uid="{00000000-0010-0000-0100-000003000000}" name="Where"/>
    <tableColumn id="4" xr3:uid="{00000000-0010-0000-0100-000004000000}" name="Important Rule"/>
    <tableColumn id="5" xr3:uid="{00000000-0010-0000-0100-000005000000}" name="Resul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lassSections" displayName="tblClassSections" ref="A4:E11" totalsRowShown="0">
  <autoFilter ref="A4:E11" xr:uid="{00000000-0009-0000-0100-000003000000}"/>
  <tableColumns count="5">
    <tableColumn id="1" xr3:uid="{00000000-0010-0000-0200-000001000000}" name="GradeLevel"/>
    <tableColumn id="2" xr3:uid="{00000000-0010-0000-0200-000002000000}" name="Section"/>
    <tableColumn id="3" xr3:uid="{00000000-0010-0000-0200-000003000000}" name="DisplayName"/>
    <tableColumn id="4" xr3:uid="{00000000-0010-0000-0200-000004000000}" name="Status"/>
    <tableColumn id="5" xr3:uid="{00000000-0010-0000-0200-000005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blLearnerScores" displayName="tblLearnerScores" ref="A5:T300" totalsRowShown="0">
  <autoFilter ref="A5:T300" xr:uid="{00000000-0009-0000-0100-000006000000}"/>
  <tableColumns count="20">
    <tableColumn id="1" xr3:uid="{00000000-0010-0000-0300-000001000000}" name="ScoreID"/>
    <tableColumn id="2" xr3:uid="{00000000-0010-0000-0300-000002000000}" name="SubmissionID"/>
    <tableColumn id="3" xr3:uid="{00000000-0010-0000-0300-000003000000}" name="SubmissionDate"/>
    <tableColumn id="4" xr3:uid="{00000000-0010-0000-0300-000004000000}" name="TeacherName"/>
    <tableColumn id="5" xr3:uid="{00000000-0010-0000-0300-000005000000}" name="TeacherEmail"/>
    <tableColumn id="6" xr3:uid="{00000000-0010-0000-0300-000006000000}" name="GradeLevel"/>
    <tableColumn id="7" xr3:uid="{00000000-0010-0000-0300-000007000000}" name="Section"/>
    <tableColumn id="8" xr3:uid="{00000000-0010-0000-0300-000008000000}" name="Quarter"/>
    <tableColumn id="9" xr3:uid="{00000000-0010-0000-0300-000009000000}" name="AssessmentType"/>
    <tableColumn id="10" xr3:uid="{00000000-0010-0000-0300-00000A000000}" name="Subject"/>
    <tableColumn id="11" xr3:uid="{00000000-0010-0000-0300-00000B000000}" name="LRN"/>
    <tableColumn id="12" xr3:uid="{00000000-0010-0000-0300-00000C000000}" name="LearnerName"/>
    <tableColumn id="13" xr3:uid="{00000000-0010-0000-0300-00000D000000}" name="TotalItems"/>
    <tableColumn id="14" xr3:uid="{00000000-0010-0000-0300-00000E000000}" name="RawScore"/>
    <tableColumn id="15" xr3:uid="{00000000-0010-0000-0300-00000F000000}" name="MPS"/>
    <tableColumn id="16" xr3:uid="{00000000-0010-0000-0300-000010000000}" name="PerformanceLevel"/>
    <tableColumn id="17" xr3:uid="{00000000-0010-0000-0300-000011000000}" name="Remarks"/>
    <tableColumn id="18" xr3:uid="{00000000-0010-0000-0300-000012000000}" name="UploadedFileName"/>
    <tableColumn id="19" xr3:uid="{00000000-0010-0000-0300-000013000000}" name="UploadedFileLink"/>
    <tableColumn id="20" xr3:uid="{00000000-0010-0000-0300-000014000000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lAssessmentSubmissions" displayName="tblAssessmentSubmissions" ref="A4:T54" totalsRowShown="0">
  <autoFilter ref="A4:T54" xr:uid="{00000000-0009-0000-0100-000002000000}"/>
  <tableColumns count="20">
    <tableColumn id="1" xr3:uid="{00000000-0010-0000-0400-000001000000}" name="SubmissionID"/>
    <tableColumn id="2" xr3:uid="{00000000-0010-0000-0400-000002000000}" name="SubmissionDate"/>
    <tableColumn id="3" xr3:uid="{00000000-0010-0000-0400-000003000000}" name="TeacherName"/>
    <tableColumn id="4" xr3:uid="{00000000-0010-0000-0400-000004000000}" name="GradeLevel"/>
    <tableColumn id="5" xr3:uid="{00000000-0010-0000-0400-000005000000}" name="Section"/>
    <tableColumn id="6" xr3:uid="{00000000-0010-0000-0400-000006000000}" name="Quarter"/>
    <tableColumn id="7" xr3:uid="{00000000-0010-0000-0400-000007000000}" name="AssessmentType"/>
    <tableColumn id="8" xr3:uid="{00000000-0010-0000-0400-000008000000}" name="Subject"/>
    <tableColumn id="9" xr3:uid="{00000000-0010-0000-0400-000009000000}" name="TotalLearners"/>
    <tableColumn id="10" xr3:uid="{00000000-0010-0000-0400-00000A000000}" name="TotalItems"/>
    <tableColumn id="11" xr3:uid="{00000000-0010-0000-0400-00000B000000}" name="MeanScore"/>
    <tableColumn id="12" xr3:uid="{00000000-0010-0000-0400-00000C000000}" name="MPS"/>
    <tableColumn id="13" xr3:uid="{00000000-0010-0000-0400-00000D000000}" name="PerformanceLevel"/>
    <tableColumn id="14" xr3:uid="{00000000-0010-0000-0400-00000E000000}" name="AtRiskLearners"/>
    <tableColumn id="15" xr3:uid="{00000000-0010-0000-0400-00000F000000}" name="MasteredCompetency"/>
    <tableColumn id="16" xr3:uid="{00000000-0010-0000-0400-000010000000}" name="LeastMasteredCompetency"/>
    <tableColumn id="17" xr3:uid="{00000000-0010-0000-0400-000011000000}" name="UploadedFileName"/>
    <tableColumn id="18" xr3:uid="{00000000-0010-0000-0400-000012000000}" name="UploadedFileLink"/>
    <tableColumn id="19" xr3:uid="{00000000-0010-0000-0400-000013000000}" name="Status"/>
    <tableColumn id="20" xr3:uid="{00000000-0010-0000-0400-000014000000}" name="Remark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tblViewOnlyGuide" displayName="tblViewOnlyGuide" ref="A5:H9" totalsRowShown="0">
  <autoFilter ref="A5:H9" xr:uid="{00000000-0009-0000-0100-000012000000}"/>
  <tableColumns count="8">
    <tableColumn id="1" xr3:uid="{00000000-0010-0000-0600-000001000000}" name="Method"/>
    <tableColumn id="2" xr3:uid="{00000000-0010-0000-0600-000002000000}" name="Recommended Use"/>
    <tableColumn id="3" xr3:uid="{00000000-0010-0000-0600-000003000000}" name="Who Can Use"/>
    <tableColumn id="4" xr3:uid="{00000000-0010-0000-0600-000004000000}" name="Permission"/>
    <tableColumn id="5" xr3:uid="{00000000-0010-0000-0600-000005000000}" name="Steps"/>
    <tableColumn id="6" xr3:uid="{00000000-0010-0000-0600-000006000000}" name="Risk Level"/>
    <tableColumn id="7" xr3:uid="{00000000-0010-0000-0600-000007000000}" name="Best For"/>
    <tableColumn id="8" xr3:uid="{00000000-0010-0000-0600-000008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blAccessControl" displayName="tblAccessControl" ref="A5:L80" totalsRowShown="0">
  <autoFilter ref="A5:L80" xr:uid="{00000000-0009-0000-0100-000001000000}"/>
  <tableColumns count="12">
    <tableColumn id="1" xr3:uid="{00000000-0010-0000-0500-000001000000}" name="UserID"/>
    <tableColumn id="2" xr3:uid="{00000000-0010-0000-0500-000002000000}" name="UserName"/>
    <tableColumn id="3" xr3:uid="{00000000-0010-0000-0500-000003000000}" name="Email"/>
    <tableColumn id="4" xr3:uid="{00000000-0010-0000-0500-000004000000}" name="Role"/>
    <tableColumn id="5" xr3:uid="{00000000-0010-0000-0500-000005000000}" name="AssignedGrade"/>
    <tableColumn id="6" xr3:uid="{00000000-0010-0000-0500-000006000000}" name="AssignedSection"/>
    <tableColumn id="7" xr3:uid="{00000000-0010-0000-0500-000007000000}" name="CanSubmit"/>
    <tableColumn id="8" xr3:uid="{00000000-0010-0000-0500-000008000000}" name="CanViewTeacherDashboard"/>
    <tableColumn id="9" xr3:uid="{00000000-0010-0000-0500-000009000000}" name="CanViewAllResults"/>
    <tableColumn id="10" xr3:uid="{00000000-0010-0000-0500-00000A000000}" name="CanEditWorkbook"/>
    <tableColumn id="11" xr3:uid="{00000000-0010-0000-0500-00000B000000}" name="Status"/>
    <tableColumn id="12" xr3:uid="{00000000-0010-0000-0500-00000C000000}" name="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tblTemplateGuide" displayName="tblTemplateGuide" ref="A5:H9" totalsRowShown="0">
  <autoFilter ref="A5:H9" xr:uid="{00000000-0009-0000-0100-000011000000}"/>
  <tableColumns count="8">
    <tableColumn id="1" xr3:uid="{00000000-0010-0000-0700-000001000000}" name="Step"/>
    <tableColumn id="2" xr3:uid="{00000000-0010-0000-0700-000002000000}" name="Instruction"/>
    <tableColumn id="3" xr3:uid="{00000000-0010-0000-0700-000003000000}" name="Reason"/>
    <tableColumn id="4" xr3:uid="{00000000-0010-0000-0700-000004000000}" name="Teacher Action"/>
    <tableColumn id="5" xr3:uid="{00000000-0010-0000-0700-000005000000}" name="Admin Check"/>
    <tableColumn id="6" xr3:uid="{00000000-0010-0000-0700-000006000000}" name="Common Error"/>
    <tableColumn id="7" xr3:uid="{00000000-0010-0000-0700-000007000000}" name="Fix"/>
    <tableColumn id="8" xr3:uid="{00000000-0010-0000-0700-000008000000}" name="Statu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blPowerAutomateFlow" displayName="tblPowerAutomateFlow" ref="A4:J10" totalsRowShown="0">
  <autoFilter ref="A4:J10" xr:uid="{00000000-0009-0000-0100-000008000000}"/>
  <tableColumns count="10">
    <tableColumn id="1" xr3:uid="{00000000-0010-0000-0800-000001000000}" name="Step"/>
    <tableColumn id="2" xr3:uid="{00000000-0010-0000-0800-000002000000}" name="Connector"/>
    <tableColumn id="3" xr3:uid="{00000000-0010-0000-0800-000003000000}" name="Action"/>
    <tableColumn id="4" xr3:uid="{00000000-0010-0000-0800-000004000000}" name="Configuration"/>
    <tableColumn id="5" xr3:uid="{00000000-0010-0000-0800-000005000000}" name="Input / Expression"/>
    <tableColumn id="6" xr3:uid="{00000000-0010-0000-0800-000006000000}" name="Output Used"/>
    <tableColumn id="7" xr3:uid="{00000000-0010-0000-0800-000007000000}" name="Success Check"/>
    <tableColumn id="8" xr3:uid="{00000000-0010-0000-0800-000008000000}" name="If Failed"/>
    <tableColumn id="9" xr3:uid="{00000000-0010-0000-0800-000009000000}" name="Owner"/>
    <tableColumn id="10" xr3:uid="{00000000-0010-0000-0800-00000A000000}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blFormMapping" displayName="tblFormMapping" ref="A4:H24" totalsRowShown="0">
  <autoFilter ref="A4:H24" xr:uid="{00000000-0009-0000-0100-000005000000}"/>
  <tableColumns count="8">
    <tableColumn id="1" xr3:uid="{00000000-0010-0000-0900-000001000000}" name="Excel Column"/>
    <tableColumn id="2" xr3:uid="{00000000-0010-0000-0900-000002000000}" name="Power Automate Value"/>
    <tableColumn id="3" xr3:uid="{00000000-0010-0000-0900-000003000000}" name="Source Step"/>
    <tableColumn id="4" xr3:uid="{00000000-0010-0000-0900-000004000000}" name="Example"/>
    <tableColumn id="5" xr3:uid="{00000000-0010-0000-0900-000005000000}" name="Required?"/>
    <tableColumn id="6" xr3:uid="{00000000-0010-0000-0900-000006000000}" name="Notes"/>
    <tableColumn id="7" xr3:uid="{00000000-0010-0000-0900-000007000000}" name="Validation"/>
    <tableColumn id="8" xr3:uid="{00000000-0010-0000-0900-000008000000}" name="Dashboard Effec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blFileLinkTest" displayName="tblFileLinkTest" ref="A4:H16" totalsRowShown="0">
  <autoFilter ref="A4:H16" xr:uid="{00000000-0009-0000-0100-000004000000}"/>
  <tableColumns count="8">
    <tableColumn id="1" xr3:uid="{00000000-0010-0000-0A00-000001000000}" name="Test No."/>
    <tableColumn id="2" xr3:uid="{00000000-0010-0000-0A00-000002000000}" name="Test Item"/>
    <tableColumn id="3" xr3:uid="{00000000-0010-0000-0A00-000003000000}" name="Expected Result"/>
    <tableColumn id="4" xr3:uid="{00000000-0010-0000-0A00-000004000000}" name="Test Account"/>
    <tableColumn id="5" xr3:uid="{00000000-0010-0000-0A00-000005000000}" name="Result"/>
    <tableColumn id="6" xr3:uid="{00000000-0010-0000-0A00-000006000000}" name="Date Tested"/>
    <tableColumn id="7" xr3:uid="{00000000-0010-0000-0A00-000007000000}" name="Issue Found"/>
    <tableColumn id="8" xr3:uid="{00000000-0010-0000-0A00-000008000000}" name="Fix / No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tblSBFPBeneficiaries" displayName="tblSBFPBeneficiaries" ref="A4:U104" totalsRowShown="0">
  <autoFilter ref="A4:U104" xr:uid="{00000000-0009-0000-0100-000009000000}"/>
  <tableColumns count="21">
    <tableColumn id="1" xr3:uid="{00000000-0010-0000-0B00-000001000000}" name="BeneficiaryID"/>
    <tableColumn id="2" xr3:uid="{00000000-0010-0000-0B00-000002000000}" name="LRN"/>
    <tableColumn id="3" xr3:uid="{00000000-0010-0000-0B00-000003000000}" name="LearnerName"/>
    <tableColumn id="4" xr3:uid="{00000000-0010-0000-0B00-000004000000}" name="Sex"/>
    <tableColumn id="5" xr3:uid="{00000000-0010-0000-0B00-000005000000}" name="GradeLevel"/>
    <tableColumn id="6" xr3:uid="{00000000-0010-0000-0B00-000006000000}" name="Section"/>
    <tableColumn id="7" xr3:uid="{00000000-0010-0000-0B00-000007000000}" name="Age"/>
    <tableColumn id="8" xr3:uid="{00000000-0010-0000-0B00-000008000000}" name="BaselineDate"/>
    <tableColumn id="9" xr3:uid="{00000000-0010-0000-0B00-000009000000}" name="BaselineHeight_cm"/>
    <tableColumn id="10" xr3:uid="{00000000-0010-0000-0B00-00000A000000}" name="BaselineWeight_kg"/>
    <tableColumn id="11" xr3:uid="{00000000-0010-0000-0B00-00000B000000}" name="BaselineBMI"/>
    <tableColumn id="12" xr3:uid="{00000000-0010-0000-0B00-00000C000000}" name="CurrentDate"/>
    <tableColumn id="13" xr3:uid="{00000000-0010-0000-0B00-00000D000000}" name="CurrentHeight_cm"/>
    <tableColumn id="14" xr3:uid="{00000000-0010-0000-0B00-00000E000000}" name="CurrentWeight_kg"/>
    <tableColumn id="15" xr3:uid="{00000000-0010-0000-0B00-00000F000000}" name="CurrentBMI"/>
    <tableColumn id="16" xr3:uid="{00000000-0010-0000-0B00-000010000000}" name="WeightChange_kg"/>
    <tableColumn id="17" xr3:uid="{00000000-0010-0000-0B00-000011000000}" name="HeightChange_cm"/>
    <tableColumn id="18" xr3:uid="{00000000-0010-0000-0B00-000012000000}" name="BMIChange"/>
    <tableColumn id="19" xr3:uid="{00000000-0010-0000-0B00-000013000000}" name="FeedingDaysPresent"/>
    <tableColumn id="20" xr3:uid="{00000000-0010-0000-0B00-000014000000}" name="FeedingAttendanceRate"/>
    <tableColumn id="21" xr3:uid="{00000000-0010-0000-0B00-000015000000}" name="Remark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blSBFPFeedingLog" displayName="tblSBFPFeedingLog" ref="A4:N204" totalsRowShown="0">
  <autoFilter ref="A4:N204" xr:uid="{00000000-0009-0000-0100-00000A000000}"/>
  <tableColumns count="14">
    <tableColumn id="1" xr3:uid="{00000000-0010-0000-0C00-000001000000}" name="LogID"/>
    <tableColumn id="2" xr3:uid="{00000000-0010-0000-0C00-000002000000}" name="Date"/>
    <tableColumn id="3" xr3:uid="{00000000-0010-0000-0C00-000003000000}" name="BeneficiaryID"/>
    <tableColumn id="4" xr3:uid="{00000000-0010-0000-0C00-000004000000}" name="LRN"/>
    <tableColumn id="5" xr3:uid="{00000000-0010-0000-0C00-000005000000}" name="LearnerName"/>
    <tableColumn id="6" xr3:uid="{00000000-0010-0000-0C00-000006000000}" name="GradeLevel"/>
    <tableColumn id="7" xr3:uid="{00000000-0010-0000-0C00-000007000000}" name="Section"/>
    <tableColumn id="8" xr3:uid="{00000000-0010-0000-0C00-000008000000}" name="MealServed"/>
    <tableColumn id="9" xr3:uid="{00000000-0010-0000-0C00-000009000000}" name="Present"/>
    <tableColumn id="10" xr3:uid="{00000000-0010-0000-0C00-00000A000000}" name="ReasonIfAbsent"/>
    <tableColumn id="11" xr3:uid="{00000000-0010-0000-0C00-00000B000000}" name="DistributedBy"/>
    <tableColumn id="12" xr3:uid="{00000000-0010-0000-0C00-00000C000000}" name="TimeServed"/>
    <tableColumn id="13" xr3:uid="{00000000-0010-0000-0C00-00000D000000}" name="Remarks"/>
    <tableColumn id="14" xr3:uid="{00000000-0010-0000-0C00-00000E000000}" name="Month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blSchoolInventory" displayName="tblSchoolInventory" ref="A4:R104" totalsRowShown="0">
  <autoFilter ref="A4:R104" xr:uid="{00000000-0009-0000-0100-00000B000000}"/>
  <tableColumns count="18">
    <tableColumn id="1" xr3:uid="{00000000-0010-0000-0D00-000001000000}" name="ItemID"/>
    <tableColumn id="2" xr3:uid="{00000000-0010-0000-0D00-000002000000}" name="Category"/>
    <tableColumn id="3" xr3:uid="{00000000-0010-0000-0D00-000003000000}" name="ItemName"/>
    <tableColumn id="4" xr3:uid="{00000000-0010-0000-0D00-000004000000}" name="Unit"/>
    <tableColumn id="5" xr3:uid="{00000000-0010-0000-0D00-000005000000}" name="BeginningQty"/>
    <tableColumn id="6" xr3:uid="{00000000-0010-0000-0D00-000006000000}" name="StockIn"/>
    <tableColumn id="7" xr3:uid="{00000000-0010-0000-0D00-000007000000}" name="StockOut"/>
    <tableColumn id="8" xr3:uid="{00000000-0010-0000-0D00-000008000000}" name="CurrentQty"/>
    <tableColumn id="9" xr3:uid="{00000000-0010-0000-0D00-000009000000}" name="ReorderLevel"/>
    <tableColumn id="10" xr3:uid="{00000000-0010-0000-0D00-00000A000000}" name="Status"/>
    <tableColumn id="11" xr3:uid="{00000000-0010-0000-0D00-00000B000000}" name="Location"/>
    <tableColumn id="12" xr3:uid="{00000000-0010-0000-0D00-00000C000000}" name="Custodian"/>
    <tableColumn id="13" xr3:uid="{00000000-0010-0000-0D00-00000D000000}" name="LastUpdated"/>
    <tableColumn id="14" xr3:uid="{00000000-0010-0000-0D00-00000E000000}" name="Supplier/Source"/>
    <tableColumn id="15" xr3:uid="{00000000-0010-0000-0D00-00000F000000}" name="UnitCost"/>
    <tableColumn id="16" xr3:uid="{00000000-0010-0000-0D00-000010000000}" name="TotalValue"/>
    <tableColumn id="17" xr3:uid="{00000000-0010-0000-0D00-000011000000}" name="Remarks"/>
    <tableColumn id="18" xr3:uid="{00000000-0010-0000-0D00-000012000000}" name="ForProgram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blSubmissions" displayName="tblSubmissions" ref="A1:M7" totalsRowShown="0">
  <autoFilter ref="A1:M7" xr:uid="{00000000-0009-0000-0100-000010000000}"/>
  <tableColumns count="13">
    <tableColumn id="1" xr3:uid="{00000000-0010-0000-0E00-000001000000}" name="SubmissionID"/>
    <tableColumn id="2" xr3:uid="{00000000-0010-0000-0E00-000002000000}" name="TeacherName"/>
    <tableColumn id="3" xr3:uid="{00000000-0010-0000-0E00-000003000000}" name="GradeLevel"/>
    <tableColumn id="4" xr3:uid="{00000000-0010-0000-0E00-000004000000}" name="Section"/>
    <tableColumn id="5" xr3:uid="{00000000-0010-0000-0E00-000005000000}" name="Quarter"/>
    <tableColumn id="6" xr3:uid="{00000000-0010-0000-0E00-000006000000}" name="SchoolYear"/>
    <tableColumn id="7" xr3:uid="{00000000-0010-0000-0E00-000007000000}" name="RequiredReport"/>
    <tableColumn id="8" xr3:uid="{00000000-0010-0000-0E00-000008000000}" name="Deadline"/>
    <tableColumn id="9" xr3:uid="{00000000-0010-0000-0E00-000009000000}" name="DateSubmitted"/>
    <tableColumn id="10" xr3:uid="{00000000-0010-0000-0E00-00000A000000}" name="ReviewStatus"/>
    <tableColumn id="11" xr3:uid="{00000000-0010-0000-0E00-00000B000000}" name="Status"/>
    <tableColumn id="12" xr3:uid="{00000000-0010-0000-0E00-00000C000000}" name="DaysRemaining"/>
    <tableColumn id="13" xr3:uid="{00000000-0010-0000-0E00-00000D000000}" name="Remark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blStudents" displayName="tblStudents" ref="A1:K131" totalsRowShown="0">
  <autoFilter ref="A1:K131" xr:uid="{00000000-0009-0000-0100-00000F000000}"/>
  <tableColumns count="11">
    <tableColumn id="1" xr3:uid="{00000000-0010-0000-0F00-000001000000}" name="StudentID"/>
    <tableColumn id="2" xr3:uid="{00000000-0010-0000-0F00-000002000000}" name="LRN"/>
    <tableColumn id="3" xr3:uid="{00000000-0010-0000-0F00-000003000000}" name="LearnerName"/>
    <tableColumn id="4" xr3:uid="{00000000-0010-0000-0F00-000004000000}" name="Sex"/>
    <tableColumn id="5" xr3:uid="{00000000-0010-0000-0F00-000005000000}" name="GradeLevel"/>
    <tableColumn id="6" xr3:uid="{00000000-0010-0000-0F00-000006000000}" name="Section"/>
    <tableColumn id="7" xr3:uid="{00000000-0010-0000-0F00-000007000000}" name="Adviser"/>
    <tableColumn id="8" xr3:uid="{00000000-0010-0000-0F00-000008000000}" name="SchoolYear"/>
    <tableColumn id="9" xr3:uid="{00000000-0010-0000-0F00-000009000000}" name="Status"/>
    <tableColumn id="10" xr3:uid="{00000000-0010-0000-0F00-00000A000000}" name="LastUpdated"/>
    <tableColumn id="11" xr3:uid="{00000000-0010-0000-0F00-00000B000000}" name="Sourc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0000000}" name="tblScores" displayName="tblScores" ref="A1:L21" totalsRowShown="0">
  <autoFilter ref="A1:L21" xr:uid="{00000000-0009-0000-0100-00000C000000}"/>
  <tableColumns count="12">
    <tableColumn id="1" xr3:uid="{00000000-0010-0000-1000-000001000000}" name="ScoreID"/>
    <tableColumn id="2" xr3:uid="{00000000-0010-0000-1000-000002000000}" name="GradeLevel"/>
    <tableColumn id="3" xr3:uid="{00000000-0010-0000-1000-000003000000}" name="Section"/>
    <tableColumn id="4" xr3:uid="{00000000-0010-0000-1000-000004000000}" name="Subject"/>
    <tableColumn id="5" xr3:uid="{00000000-0010-0000-1000-000005000000}" name="TotalLearners"/>
    <tableColumn id="6" xr3:uid="{00000000-0010-0000-1000-000006000000}" name="TotalItems"/>
    <tableColumn id="7" xr3:uid="{00000000-0010-0000-1000-000007000000}" name="MeanScore"/>
    <tableColumn id="8" xr3:uid="{00000000-0010-0000-1000-000008000000}" name="MPS"/>
    <tableColumn id="9" xr3:uid="{00000000-0010-0000-1000-000009000000}" name="PerformanceLevel"/>
    <tableColumn id="10" xr3:uid="{00000000-0010-0000-1000-00000A000000}" name="AtRiskLearners"/>
    <tableColumn id="11" xr3:uid="{00000000-0010-0000-1000-00000B000000}" name="Mastered"/>
    <tableColumn id="12" xr3:uid="{00000000-0010-0000-1000-00000C000000}" name="PriorityNeed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1000000}" name="tblLISSync" displayName="tblLISSync" ref="A1:J3" totalsRowShown="0">
  <autoFilter ref="A1:J3" xr:uid="{00000000-0009-0000-0100-000007000000}"/>
  <tableColumns count="10">
    <tableColumn id="1" xr3:uid="{00000000-0010-0000-1100-000001000000}" name="SyncID"/>
    <tableColumn id="2" xr3:uid="{00000000-0010-0000-1100-000002000000}" name="UploadFileName"/>
    <tableColumn id="3" xr3:uid="{00000000-0010-0000-1100-000003000000}" name="SyncDateTime"/>
    <tableColumn id="4" xr3:uid="{00000000-0010-0000-1100-000004000000}" name="Added"/>
    <tableColumn id="5" xr3:uid="{00000000-0010-0000-1100-000005000000}" name="Updated"/>
    <tableColumn id="6" xr3:uid="{00000000-0010-0000-1100-000006000000}" name="ForVerification"/>
    <tableColumn id="7" xr3:uid="{00000000-0010-0000-1100-000007000000}" name="TotalProcessed"/>
    <tableColumn id="8" xr3:uid="{00000000-0010-0000-1100-000008000000}" name="ProcessedBy"/>
    <tableColumn id="9" xr3:uid="{00000000-0010-0000-1100-000009000000}" name="Status"/>
    <tableColumn id="10" xr3:uid="{00000000-0010-0000-1100-00000A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2"/>
  <sheetViews>
    <sheetView showGridLines="0" zoomScaleNormal="100" workbookViewId="0">
      <pane ySplit="5" topLeftCell="A54" activePane="bottomLeft" state="frozen"/>
      <selection pane="bottomLeft"/>
    </sheetView>
  </sheetViews>
  <sheetFormatPr defaultColWidth="8.7109375" defaultRowHeight="15" x14ac:dyDescent="0.25"/>
  <cols>
    <col min="1" max="5" width="18" customWidth="1"/>
    <col min="6" max="6" width="4" customWidth="1"/>
    <col min="7" max="10" width="18" customWidth="1"/>
    <col min="11" max="11" width="4" customWidth="1"/>
    <col min="12" max="14" width="18" customWidth="1"/>
    <col min="27" max="28" width="13" hidden="1" customWidth="1"/>
    <col min="30" max="31" width="13" hidden="1" customWidth="1"/>
    <col min="33" max="34" width="13" hidden="1" customWidth="1"/>
  </cols>
  <sheetData>
    <row r="1" spans="1:34" ht="24" customHeight="1" x14ac:dyDescent="0.25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AA1" t="s">
        <v>1</v>
      </c>
      <c r="AB1" t="s">
        <v>2</v>
      </c>
      <c r="AD1" t="s">
        <v>3</v>
      </c>
      <c r="AE1" t="s">
        <v>4</v>
      </c>
      <c r="AG1" t="s">
        <v>5</v>
      </c>
      <c r="AH1" t="s">
        <v>6</v>
      </c>
    </row>
    <row r="2" spans="1:34" ht="24" customHeigh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AA2" t="s">
        <v>7</v>
      </c>
      <c r="AB2">
        <f>COUNTA(Students!B2:B500)</f>
        <v>130</v>
      </c>
      <c r="AD2" t="s">
        <v>8</v>
      </c>
      <c r="AE2">
        <f>AVERAGEIF(Scores!D:D,AD2,Scores!H:H)</f>
        <v>0.47408333333333336</v>
      </c>
      <c r="AG2" t="s">
        <v>9</v>
      </c>
      <c r="AH2">
        <f>SUMIF(Scores!B:B,AG2,Scores!J:J)</f>
        <v>4</v>
      </c>
    </row>
    <row r="3" spans="1:34" ht="24" customHeight="1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AA3" t="s">
        <v>10</v>
      </c>
      <c r="AB3">
        <f>COUNTA(Teacher_Submissions!B2:B100)</f>
        <v>6</v>
      </c>
      <c r="AD3" t="s">
        <v>11</v>
      </c>
      <c r="AE3">
        <f>AVERAGEIF(Scores!D:D,AD3,Scores!H:H)</f>
        <v>0.59730000000000005</v>
      </c>
      <c r="AG3" t="s">
        <v>12</v>
      </c>
      <c r="AH3">
        <f>SUMIF(Scores!B:B,AG3,Scores!J:J)</f>
        <v>26</v>
      </c>
    </row>
    <row r="4" spans="1:34" ht="24" customHeight="1" x14ac:dyDescent="0.25">
      <c r="A4" s="1" t="s">
        <v>13</v>
      </c>
      <c r="B4" s="2" t="s">
        <v>14</v>
      </c>
      <c r="D4" s="1" t="s">
        <v>15</v>
      </c>
      <c r="E4" s="2" t="s">
        <v>16</v>
      </c>
      <c r="G4" s="1" t="s">
        <v>17</v>
      </c>
      <c r="H4" s="2" t="s">
        <v>18</v>
      </c>
      <c r="L4" s="1" t="s">
        <v>19</v>
      </c>
      <c r="M4" s="2" t="s">
        <v>20</v>
      </c>
      <c r="AA4" t="s">
        <v>21</v>
      </c>
      <c r="AB4">
        <f ca="1">COUNTIF(Teacher_Submissions!K2:K100,"Submitted")</f>
        <v>2</v>
      </c>
      <c r="AD4" t="s">
        <v>22</v>
      </c>
      <c r="AE4">
        <f>AVERAGEIF(Scores!D:D,AD4,Scores!H:H)</f>
        <v>0.43425000000000002</v>
      </c>
      <c r="AG4" t="s">
        <v>23</v>
      </c>
      <c r="AH4">
        <f>SUMIF(Scores!B:B,AG4,Scores!J:J)</f>
        <v>28</v>
      </c>
    </row>
    <row r="5" spans="1:34" ht="24" customHeight="1" x14ac:dyDescent="0.25">
      <c r="AA5" t="s">
        <v>24</v>
      </c>
      <c r="AB5">
        <f ca="1">COUNTIF(Teacher_Submissions!K2:K100,"Due Soon")</f>
        <v>2</v>
      </c>
      <c r="AD5" t="s">
        <v>25</v>
      </c>
      <c r="AE5">
        <f>AVERAGEIF(Scores!D:D,AD5,Scores!H:H)</f>
        <v>0.48</v>
      </c>
      <c r="AG5" t="s">
        <v>26</v>
      </c>
      <c r="AH5">
        <f>SUMIF(Scores!B:B,AG5,Scores!J:J)</f>
        <v>12</v>
      </c>
    </row>
    <row r="6" spans="1:34" ht="24" customHeight="1" x14ac:dyDescent="0.25">
      <c r="A6" s="3" t="s">
        <v>27</v>
      </c>
      <c r="B6" s="4" t="s">
        <v>28</v>
      </c>
      <c r="C6" s="5"/>
      <c r="D6" s="6" t="s">
        <v>29</v>
      </c>
      <c r="E6" s="7" t="s">
        <v>30</v>
      </c>
      <c r="F6" s="8"/>
      <c r="G6" s="9" t="s">
        <v>31</v>
      </c>
      <c r="H6" s="10" t="s">
        <v>32</v>
      </c>
      <c r="I6" s="11"/>
      <c r="J6" s="12" t="s">
        <v>33</v>
      </c>
      <c r="K6" s="13" t="s">
        <v>34</v>
      </c>
      <c r="L6" s="14"/>
      <c r="M6" s="15" t="s">
        <v>35</v>
      </c>
      <c r="N6" s="16" t="s">
        <v>36</v>
      </c>
      <c r="AA6" t="s">
        <v>37</v>
      </c>
      <c r="AB6">
        <f ca="1">COUNTIF(Teacher_Submissions!K2:K100,"Overdue")</f>
        <v>0</v>
      </c>
      <c r="AD6" t="s">
        <v>38</v>
      </c>
      <c r="AE6">
        <f>AVERAGEIF(Scores!D:D,AD6,Scores!H:H)</f>
        <v>0.55000000000000004</v>
      </c>
      <c r="AG6" t="s">
        <v>39</v>
      </c>
      <c r="AH6">
        <f>SUMIF(Scores!B:B,AG6,Scores!J:J)</f>
        <v>18</v>
      </c>
    </row>
    <row r="7" spans="1:34" ht="24" customHeight="1" x14ac:dyDescent="0.25">
      <c r="A7" s="5"/>
      <c r="B7" s="5"/>
      <c r="C7" s="5"/>
      <c r="D7" s="8"/>
      <c r="E7" s="8"/>
      <c r="F7" s="8"/>
      <c r="G7" s="11"/>
      <c r="H7" s="11"/>
      <c r="I7" s="11"/>
      <c r="J7" s="14"/>
      <c r="K7" s="14"/>
      <c r="L7" s="14"/>
      <c r="M7" s="17"/>
      <c r="N7" s="17"/>
      <c r="AA7" t="s">
        <v>40</v>
      </c>
      <c r="AB7">
        <f ca="1">COUNTIF(Teacher_Submissions!K2:K100,"For Checking")</f>
        <v>1</v>
      </c>
      <c r="AD7" t="s">
        <v>41</v>
      </c>
      <c r="AE7">
        <f>AVERAGEIF(Scores!D:D,AD7,Scores!H:H)</f>
        <v>0.58299999999999996</v>
      </c>
      <c r="AG7" t="s">
        <v>42</v>
      </c>
      <c r="AH7">
        <f>SUMIF(Scores!B:B,AG7,Scores!J:J)</f>
        <v>26</v>
      </c>
    </row>
    <row r="8" spans="1:34" ht="24" customHeight="1" x14ac:dyDescent="0.4">
      <c r="A8" s="5"/>
      <c r="B8" s="18">
        <f>AB2</f>
        <v>130</v>
      </c>
      <c r="C8" s="5"/>
      <c r="D8" s="8"/>
      <c r="E8" s="19">
        <f>AB3</f>
        <v>6</v>
      </c>
      <c r="F8" s="8"/>
      <c r="G8" s="11"/>
      <c r="H8" s="20">
        <f>AB11</f>
        <v>0.502475</v>
      </c>
      <c r="I8" s="11"/>
      <c r="J8" s="14"/>
      <c r="K8" s="21">
        <f>AB10</f>
        <v>137</v>
      </c>
      <c r="L8" s="14"/>
      <c r="M8" s="17"/>
      <c r="N8" s="22">
        <f ca="1">AB9</f>
        <v>0.33333333333333331</v>
      </c>
      <c r="AA8" t="s">
        <v>43</v>
      </c>
      <c r="AB8">
        <f ca="1">COUNTIF(Teacher_Submissions!K2:K100,"Returned")</f>
        <v>1</v>
      </c>
      <c r="AG8" t="s">
        <v>44</v>
      </c>
      <c r="AH8">
        <f>SUMIF(Scores!B:B,AG8,Scores!J:J)</f>
        <v>23</v>
      </c>
    </row>
    <row r="9" spans="1:34" ht="24" customHeight="1" x14ac:dyDescent="0.25">
      <c r="A9" s="5"/>
      <c r="B9" s="23" t="s">
        <v>45</v>
      </c>
      <c r="C9" s="5"/>
      <c r="D9" s="8"/>
      <c r="E9" s="24" t="s">
        <v>46</v>
      </c>
      <c r="F9" s="8"/>
      <c r="G9" s="11"/>
      <c r="H9" s="25" t="s">
        <v>47</v>
      </c>
      <c r="I9" s="11"/>
      <c r="J9" s="14"/>
      <c r="K9" s="26" t="s">
        <v>48</v>
      </c>
      <c r="L9" s="14"/>
      <c r="M9" s="17"/>
      <c r="N9" s="27" t="s">
        <v>49</v>
      </c>
      <c r="AA9" t="s">
        <v>50</v>
      </c>
      <c r="AB9">
        <f ca="1">IFERROR(AB4/AB3,0)</f>
        <v>0.33333333333333331</v>
      </c>
    </row>
    <row r="10" spans="1:34" ht="24" customHeight="1" x14ac:dyDescent="0.25">
      <c r="AA10" t="s">
        <v>51</v>
      </c>
      <c r="AB10">
        <f>SUM(Scores!J2:J200)</f>
        <v>137</v>
      </c>
    </row>
    <row r="11" spans="1:34" ht="24" customHeight="1" x14ac:dyDescent="0.3">
      <c r="A11" s="116" t="s">
        <v>52</v>
      </c>
      <c r="B11" s="116"/>
      <c r="C11" s="116"/>
      <c r="D11" s="116"/>
      <c r="E11" s="116"/>
      <c r="F11" s="116"/>
      <c r="H11" s="116" t="s">
        <v>53</v>
      </c>
      <c r="I11" s="116"/>
      <c r="J11" s="116"/>
      <c r="K11" s="116"/>
      <c r="L11" s="116"/>
      <c r="M11" s="116"/>
      <c r="N11" s="116"/>
      <c r="AA11" t="s">
        <v>54</v>
      </c>
      <c r="AB11">
        <f>AVERAGE(Scores!H2:H200)</f>
        <v>0.502475</v>
      </c>
    </row>
    <row r="12" spans="1:34" ht="24" customHeight="1" x14ac:dyDescent="0.25">
      <c r="A12" s="28" t="s">
        <v>55</v>
      </c>
      <c r="B12" s="28" t="s">
        <v>5</v>
      </c>
      <c r="C12" s="28" t="s">
        <v>56</v>
      </c>
      <c r="D12" s="28" t="s">
        <v>57</v>
      </c>
      <c r="E12" s="28" t="s">
        <v>58</v>
      </c>
      <c r="F12" s="28" t="s">
        <v>59</v>
      </c>
      <c r="H12" s="28" t="s">
        <v>9</v>
      </c>
      <c r="I12" s="28" t="s">
        <v>12</v>
      </c>
      <c r="J12" s="28" t="s">
        <v>23</v>
      </c>
      <c r="K12" s="28" t="s">
        <v>26</v>
      </c>
      <c r="L12" s="28" t="s">
        <v>39</v>
      </c>
      <c r="M12" s="28" t="s">
        <v>42</v>
      </c>
      <c r="N12" s="28" t="s">
        <v>44</v>
      </c>
    </row>
    <row r="13" spans="1:34" ht="24" customHeight="1" x14ac:dyDescent="0.25">
      <c r="A13" s="29" t="str">
        <f>Teacher_Submissions!B2</f>
        <v>Jenny Queen L. Orillaneda</v>
      </c>
      <c r="B13" s="29" t="str">
        <f>Teacher_Submissions!C2</f>
        <v>Grade 1</v>
      </c>
      <c r="C13" s="29" t="str">
        <f ca="1">Teacher_Submissions!K2</f>
        <v>Submitted</v>
      </c>
      <c r="D13" s="30" t="str">
        <f>Teacher_Submissions!I2</f>
        <v>2026-07-27</v>
      </c>
      <c r="E13" s="30" t="str">
        <f>Teacher_Submissions!H2</f>
        <v>2026-07-30</v>
      </c>
      <c r="F13" s="29" t="str">
        <f>Teacher_Submissions!M2</f>
        <v>Complete</v>
      </c>
      <c r="H13" s="31">
        <f>AVERAGEIF(Scores!B:B,"Kinder",Scores!H:H)</f>
        <v>0.58299999999999996</v>
      </c>
      <c r="I13" s="31">
        <f>AVERAGEIF(Scores!B:B,"Grade 1",Scores!H:H)</f>
        <v>0.5</v>
      </c>
      <c r="J13" s="31">
        <f>AVERAGEIF(Scores!B:B,"Grade 2",Scores!H:H)</f>
        <v>0.42666666666666669</v>
      </c>
      <c r="K13" s="31">
        <f>AVERAGEIF(Scores!B:B,"Grade 3",Scores!H:H)</f>
        <v>0.63</v>
      </c>
      <c r="L13" s="31">
        <f>AVERAGEIF(Scores!B:B,"Grade 4",Scores!H:H)</f>
        <v>0.47666666666666663</v>
      </c>
      <c r="M13" s="31">
        <f>AVERAGEIF(Scores!B:B,"Grade 5",Scores!H:H)</f>
        <v>0.48883333333333329</v>
      </c>
      <c r="N13" s="31">
        <f>AVERAGEIF(Scores!B:B,"Grade 6",Scores!H:H)</f>
        <v>0.46666666666666662</v>
      </c>
      <c r="AA13" t="s">
        <v>60</v>
      </c>
      <c r="AB13">
        <v>20</v>
      </c>
    </row>
    <row r="14" spans="1:34" ht="24" customHeight="1" x14ac:dyDescent="0.25">
      <c r="A14" s="29" t="str">
        <f>Teacher_Submissions!B3</f>
        <v>Maria Fatima R. Peñanueva</v>
      </c>
      <c r="B14" s="29" t="str">
        <f>Teacher_Submissions!C3</f>
        <v>Grade 2</v>
      </c>
      <c r="C14" s="29" t="str">
        <f ca="1">Teacher_Submissions!K3</f>
        <v>Due Soon</v>
      </c>
      <c r="D14" s="30">
        <f>Teacher_Submissions!I3</f>
        <v>0</v>
      </c>
      <c r="E14" s="30" t="str">
        <f>Teacher_Submissions!H3</f>
        <v>2026-07-30</v>
      </c>
      <c r="F14" s="29">
        <f>Teacher_Submissions!M3</f>
        <v>0</v>
      </c>
    </row>
    <row r="15" spans="1:34" ht="24" customHeight="1" x14ac:dyDescent="0.25">
      <c r="A15" s="29" t="str">
        <f>Teacher_Submissions!B4</f>
        <v>Jessa Mae R. Flores</v>
      </c>
      <c r="B15" s="29" t="str">
        <f>Teacher_Submissions!C4</f>
        <v>Grade 3</v>
      </c>
      <c r="C15" s="29" t="str">
        <f ca="1">Teacher_Submissions!K4</f>
        <v>Submitted</v>
      </c>
      <c r="D15" s="30" t="str">
        <f>Teacher_Submissions!I4</f>
        <v>2026-07-27</v>
      </c>
      <c r="E15" s="30" t="str">
        <f>Teacher_Submissions!H4</f>
        <v>2026-07-30</v>
      </c>
      <c r="F15" s="29" t="str">
        <f>Teacher_Submissions!M4</f>
        <v>Complete</v>
      </c>
    </row>
    <row r="16" spans="1:34" ht="24" customHeight="1" x14ac:dyDescent="0.25">
      <c r="A16" s="29" t="str">
        <f>Teacher_Submissions!B5</f>
        <v>Alma C. Nayre</v>
      </c>
      <c r="B16" s="29" t="str">
        <f>Teacher_Submissions!C5</f>
        <v>Grade 4</v>
      </c>
      <c r="C16" s="29" t="str">
        <f ca="1">Teacher_Submissions!K5</f>
        <v>For Checking</v>
      </c>
      <c r="D16" s="30" t="str">
        <f>Teacher_Submissions!I5</f>
        <v>2026-07-26</v>
      </c>
      <c r="E16" s="30" t="str">
        <f>Teacher_Submissions!H5</f>
        <v>2026-07-30</v>
      </c>
      <c r="F16" s="29" t="str">
        <f>Teacher_Submissions!M5</f>
        <v>Needs checking</v>
      </c>
    </row>
    <row r="17" spans="1:14" ht="24" customHeight="1" x14ac:dyDescent="0.25">
      <c r="A17" s="29" t="str">
        <f>Teacher_Submissions!B6</f>
        <v>Lendon B. Abonales</v>
      </c>
      <c r="B17" s="29" t="str">
        <f>Teacher_Submissions!C6</f>
        <v>Grade 5</v>
      </c>
      <c r="C17" s="29" t="str">
        <f ca="1">Teacher_Submissions!K6</f>
        <v>Due Soon</v>
      </c>
      <c r="D17" s="30">
        <f>Teacher_Submissions!I6</f>
        <v>0</v>
      </c>
      <c r="E17" s="30" t="str">
        <f>Teacher_Submissions!H6</f>
        <v>2026-07-20</v>
      </c>
      <c r="F17" s="29">
        <f>Teacher_Submissions!M6</f>
        <v>0</v>
      </c>
    </row>
    <row r="18" spans="1:14" ht="24" customHeight="1" x14ac:dyDescent="0.25">
      <c r="A18" s="29" t="str">
        <f>Teacher_Submissions!B7</f>
        <v>Mark Zoilo C. Tajonera</v>
      </c>
      <c r="B18" s="29" t="str">
        <f>Teacher_Submissions!C7</f>
        <v>Grade 6</v>
      </c>
      <c r="C18" s="29" t="str">
        <f ca="1">Teacher_Submissions!K7</f>
        <v>Returned</v>
      </c>
      <c r="D18" s="30" t="str">
        <f>Teacher_Submissions!I7</f>
        <v>2026-07-25</v>
      </c>
      <c r="E18" s="30" t="str">
        <f>Teacher_Submissions!H7</f>
        <v>2026-07-30</v>
      </c>
      <c r="F18" s="29" t="str">
        <f>Teacher_Submissions!M7</f>
        <v>Needs correction</v>
      </c>
    </row>
    <row r="19" spans="1:14" ht="24" customHeight="1" x14ac:dyDescent="0.25"/>
    <row r="20" spans="1:14" ht="24" customHeight="1" x14ac:dyDescent="0.25">
      <c r="A20" s="32" t="s">
        <v>21</v>
      </c>
      <c r="B20" s="33" t="s">
        <v>24</v>
      </c>
      <c r="C20" s="34" t="s">
        <v>37</v>
      </c>
      <c r="D20" s="35" t="s">
        <v>40</v>
      </c>
      <c r="E20" s="36" t="s">
        <v>43</v>
      </c>
      <c r="F20" s="37" t="s">
        <v>61</v>
      </c>
    </row>
    <row r="21" spans="1:14" ht="24" customHeight="1" x14ac:dyDescent="0.4">
      <c r="A21" s="38">
        <f ca="1">AB4</f>
        <v>2</v>
      </c>
      <c r="B21" s="39">
        <f ca="1">AB5</f>
        <v>2</v>
      </c>
      <c r="C21" s="40">
        <f ca="1">AB6</f>
        <v>0</v>
      </c>
      <c r="D21" s="41">
        <f ca="1">AB7</f>
        <v>1</v>
      </c>
      <c r="E21" s="42">
        <f ca="1">AB8</f>
        <v>1</v>
      </c>
      <c r="F21" s="43">
        <f ca="1">AB9</f>
        <v>0.33333333333333331</v>
      </c>
    </row>
    <row r="22" spans="1:14" ht="24" customHeight="1" x14ac:dyDescent="0.25"/>
    <row r="23" spans="1:14" ht="24" customHeight="1" x14ac:dyDescent="0.25"/>
    <row r="24" spans="1:14" ht="24" customHeight="1" x14ac:dyDescent="0.3">
      <c r="A24" s="116" t="s">
        <v>62</v>
      </c>
      <c r="B24" s="116"/>
      <c r="C24" s="116"/>
      <c r="D24" s="116"/>
      <c r="E24" s="116"/>
      <c r="F24" s="116"/>
      <c r="H24" s="116" t="s">
        <v>63</v>
      </c>
      <c r="I24" s="116"/>
      <c r="J24" s="116"/>
      <c r="K24" s="116"/>
      <c r="L24" s="116"/>
      <c r="M24" s="116"/>
      <c r="N24" s="116"/>
    </row>
    <row r="25" spans="1:14" ht="24" customHeight="1" x14ac:dyDescent="0.25"/>
    <row r="26" spans="1:14" ht="24" customHeight="1" x14ac:dyDescent="0.25"/>
    <row r="27" spans="1:14" ht="24" customHeight="1" x14ac:dyDescent="0.25"/>
    <row r="28" spans="1:14" ht="24" customHeight="1" x14ac:dyDescent="0.25"/>
    <row r="29" spans="1:14" ht="24" customHeight="1" x14ac:dyDescent="0.25"/>
    <row r="30" spans="1:14" ht="24" customHeight="1" x14ac:dyDescent="0.25"/>
    <row r="31" spans="1:14" ht="24" customHeight="1" x14ac:dyDescent="0.25"/>
    <row r="32" spans="1:14" ht="24" customHeight="1" x14ac:dyDescent="0.25"/>
    <row r="33" spans="1:14" ht="24" customHeight="1" x14ac:dyDescent="0.25"/>
    <row r="34" spans="1:14" ht="24" customHeight="1" x14ac:dyDescent="0.25"/>
    <row r="35" spans="1:14" ht="24" customHeight="1" x14ac:dyDescent="0.25"/>
    <row r="36" spans="1:14" ht="24" customHeight="1" x14ac:dyDescent="0.25"/>
    <row r="37" spans="1:14" ht="24" customHeight="1" x14ac:dyDescent="0.25"/>
    <row r="38" spans="1:14" ht="24" customHeight="1" x14ac:dyDescent="0.3">
      <c r="A38" s="116" t="s">
        <v>64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</row>
    <row r="39" spans="1:14" ht="24" customHeight="1" x14ac:dyDescent="0.25">
      <c r="A39" s="44" t="s">
        <v>65</v>
      </c>
      <c r="B39" s="44" t="s">
        <v>3</v>
      </c>
      <c r="C39" s="44" t="s">
        <v>5</v>
      </c>
      <c r="D39" s="44" t="s">
        <v>51</v>
      </c>
    </row>
    <row r="40" spans="1:14" ht="24" customHeight="1" x14ac:dyDescent="0.25">
      <c r="A40" s="29" t="s">
        <v>66</v>
      </c>
      <c r="B40" s="29" t="s">
        <v>22</v>
      </c>
      <c r="C40" s="29" t="s">
        <v>42</v>
      </c>
      <c r="D40" s="29">
        <v>12</v>
      </c>
    </row>
    <row r="41" spans="1:14" ht="24" customHeight="1" x14ac:dyDescent="0.25">
      <c r="A41" s="29" t="s">
        <v>67</v>
      </c>
      <c r="B41" s="29" t="s">
        <v>22</v>
      </c>
      <c r="C41" s="29" t="s">
        <v>23</v>
      </c>
      <c r="D41" s="29">
        <v>11</v>
      </c>
    </row>
    <row r="42" spans="1:14" ht="24" customHeight="1" x14ac:dyDescent="0.25">
      <c r="A42" s="29" t="s">
        <v>68</v>
      </c>
      <c r="B42" s="29" t="s">
        <v>22</v>
      </c>
      <c r="C42" s="29" t="s">
        <v>44</v>
      </c>
      <c r="D42" s="29">
        <v>10</v>
      </c>
    </row>
    <row r="43" spans="1:14" ht="24" customHeight="1" x14ac:dyDescent="0.25">
      <c r="A43" s="29" t="s">
        <v>69</v>
      </c>
      <c r="B43" s="29" t="s">
        <v>8</v>
      </c>
      <c r="C43" s="29" t="s">
        <v>23</v>
      </c>
      <c r="D43" s="29">
        <v>10</v>
      </c>
    </row>
    <row r="44" spans="1:14" ht="24" customHeight="1" x14ac:dyDescent="0.25">
      <c r="A44" s="29" t="s">
        <v>70</v>
      </c>
      <c r="B44" s="29" t="s">
        <v>8</v>
      </c>
      <c r="C44" s="29" t="s">
        <v>12</v>
      </c>
      <c r="D44" s="29">
        <v>8</v>
      </c>
    </row>
    <row r="45" spans="1:14" ht="24" customHeight="1" x14ac:dyDescent="0.25"/>
    <row r="46" spans="1:14" ht="24" customHeight="1" x14ac:dyDescent="0.25">
      <c r="F46" s="117" t="s">
        <v>71</v>
      </c>
      <c r="G46" s="117"/>
      <c r="H46" s="117"/>
      <c r="I46" s="117"/>
      <c r="J46" s="117"/>
      <c r="K46" s="117"/>
      <c r="L46" s="117"/>
      <c r="M46" s="117"/>
      <c r="N46" s="117"/>
    </row>
    <row r="47" spans="1:14" ht="24" customHeight="1" x14ac:dyDescent="0.25">
      <c r="F47" s="117"/>
      <c r="G47" s="117"/>
      <c r="H47" s="117"/>
      <c r="I47" s="117"/>
      <c r="J47" s="117"/>
      <c r="K47" s="117"/>
      <c r="L47" s="117"/>
      <c r="M47" s="117"/>
      <c r="N47" s="117"/>
    </row>
    <row r="48" spans="1:14" ht="24" customHeight="1" x14ac:dyDescent="0.25">
      <c r="F48" s="117"/>
      <c r="G48" s="117"/>
      <c r="H48" s="117"/>
      <c r="I48" s="117"/>
      <c r="J48" s="117"/>
      <c r="K48" s="117"/>
      <c r="L48" s="117"/>
      <c r="M48" s="117"/>
      <c r="N48" s="117"/>
    </row>
    <row r="49" spans="1:14" ht="24" customHeight="1" x14ac:dyDescent="0.25">
      <c r="F49" s="117"/>
      <c r="G49" s="117"/>
      <c r="H49" s="117"/>
      <c r="I49" s="117"/>
      <c r="J49" s="117"/>
      <c r="K49" s="117"/>
      <c r="L49" s="117"/>
      <c r="M49" s="117"/>
      <c r="N49" s="117"/>
    </row>
    <row r="50" spans="1:14" ht="24" customHeight="1" x14ac:dyDescent="0.25">
      <c r="F50" s="117"/>
      <c r="G50" s="117"/>
      <c r="H50" s="117"/>
      <c r="I50" s="117"/>
      <c r="J50" s="117"/>
      <c r="K50" s="117"/>
      <c r="L50" s="117"/>
      <c r="M50" s="117"/>
      <c r="N50" s="117"/>
    </row>
    <row r="51" spans="1:14" ht="24" customHeight="1" x14ac:dyDescent="0.25">
      <c r="F51" s="117"/>
      <c r="G51" s="117"/>
      <c r="H51" s="117"/>
      <c r="I51" s="117"/>
      <c r="J51" s="117"/>
      <c r="K51" s="117"/>
      <c r="L51" s="117"/>
      <c r="M51" s="117"/>
      <c r="N51" s="117"/>
    </row>
    <row r="52" spans="1:14" ht="24" customHeight="1" x14ac:dyDescent="0.25">
      <c r="F52" s="117"/>
      <c r="G52" s="117"/>
      <c r="H52" s="117"/>
      <c r="I52" s="117"/>
      <c r="J52" s="117"/>
      <c r="K52" s="117"/>
      <c r="L52" s="117"/>
      <c r="M52" s="117"/>
      <c r="N52" s="117"/>
    </row>
    <row r="53" spans="1:14" ht="24" customHeight="1" x14ac:dyDescent="0.25"/>
    <row r="54" spans="1:14" ht="24" customHeight="1" x14ac:dyDescent="0.3">
      <c r="A54" s="116" t="s">
        <v>72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</row>
    <row r="55" spans="1:14" ht="24" customHeight="1" x14ac:dyDescent="0.25">
      <c r="A55" s="45" t="s">
        <v>73</v>
      </c>
      <c r="B55" s="45" t="s">
        <v>55</v>
      </c>
      <c r="C55" s="45" t="s">
        <v>5</v>
      </c>
      <c r="D55" s="45" t="s">
        <v>74</v>
      </c>
      <c r="E55" s="45" t="s">
        <v>3</v>
      </c>
      <c r="F55" s="45" t="s">
        <v>4</v>
      </c>
      <c r="G55" s="45" t="s">
        <v>56</v>
      </c>
      <c r="H55" s="45" t="s">
        <v>75</v>
      </c>
    </row>
    <row r="56" spans="1:14" ht="24" customHeight="1" x14ac:dyDescent="0.25">
      <c r="A56" s="46">
        <f>Assessment_Submissions!B5</f>
        <v>46230.388888888898</v>
      </c>
      <c r="B56" s="47" t="str">
        <f>Assessment_Submissions!C5</f>
        <v>Jenny Queen L. Orillaneda</v>
      </c>
      <c r="C56" s="47" t="str">
        <f>Assessment_Submissions!D5</f>
        <v>Grade 1</v>
      </c>
      <c r="D56" s="47" t="str">
        <f>Assessment_Submissions!G5</f>
        <v>Periodical Exam</v>
      </c>
      <c r="E56" s="47" t="str">
        <f>Assessment_Submissions!H5</f>
        <v>English</v>
      </c>
      <c r="F56" s="48">
        <f>Assessment_Submissions!L5</f>
        <v>0.72</v>
      </c>
      <c r="G56" s="47" t="str">
        <f>Assessment_Submissions!S5</f>
        <v>For Checking</v>
      </c>
      <c r="H56" s="47" t="str">
        <f>IF(Assessment_Submissions!R5="","No File",HYPERLINK(Assessment_Submissions!R5,"View File"))</f>
        <v>View File</v>
      </c>
    </row>
    <row r="57" spans="1:14" ht="24" customHeight="1" x14ac:dyDescent="0.25">
      <c r="A57" s="46">
        <f>Assessment_Submissions!B6</f>
        <v>46230.423611111102</v>
      </c>
      <c r="B57" s="47" t="str">
        <f>Assessment_Submissions!C6</f>
        <v>Maria Fatima R. Peñanueva</v>
      </c>
      <c r="C57" s="47" t="str">
        <f>Assessment_Submissions!D6</f>
        <v>Grade 2</v>
      </c>
      <c r="D57" s="47" t="str">
        <f>Assessment_Submissions!G6</f>
        <v>Summative Test</v>
      </c>
      <c r="E57" s="47" t="str">
        <f>Assessment_Submissions!H6</f>
        <v>Mathematics</v>
      </c>
      <c r="F57" s="48">
        <f>Assessment_Submissions!L6</f>
        <v>0.52500000000000002</v>
      </c>
      <c r="G57" s="47" t="str">
        <f>Assessment_Submissions!S6</f>
        <v>For Checking</v>
      </c>
      <c r="H57" s="47" t="str">
        <f>IF(Assessment_Submissions!R6="","No File",HYPERLINK(Assessment_Submissions!R6,"View File"))</f>
        <v>View File</v>
      </c>
    </row>
    <row r="58" spans="1:14" ht="24" customHeight="1" x14ac:dyDescent="0.25">
      <c r="A58" s="46">
        <f>Assessment_Submissions!B7</f>
        <v>46230.479166666701</v>
      </c>
      <c r="B58" s="47" t="str">
        <f>Assessment_Submissions!C7</f>
        <v>Jessa Mae R. Flores</v>
      </c>
      <c r="C58" s="47" t="str">
        <f>Assessment_Submissions!D7</f>
        <v>Grade 3</v>
      </c>
      <c r="D58" s="47" t="str">
        <f>Assessment_Submissions!G7</f>
        <v>Diagnostic Test</v>
      </c>
      <c r="E58" s="47" t="str">
        <f>Assessment_Submissions!H7</f>
        <v>Filipino</v>
      </c>
      <c r="F58" s="48">
        <f>Assessment_Submissions!L7</f>
        <v>0.8</v>
      </c>
      <c r="G58" s="47" t="str">
        <f>Assessment_Submissions!S7</f>
        <v>Submitted</v>
      </c>
      <c r="H58" s="47" t="str">
        <f>IF(Assessment_Submissions!R7="","No File",HYPERLINK(Assessment_Submissions!R7,"View File"))</f>
        <v>View File</v>
      </c>
    </row>
    <row r="59" spans="1:14" ht="24" customHeight="1" x14ac:dyDescent="0.25"/>
    <row r="60" spans="1:14" ht="21.75" customHeight="1" x14ac:dyDescent="0.25"/>
    <row r="61" spans="1:14" ht="21.75" customHeight="1" x14ac:dyDescent="0.25"/>
    <row r="62" spans="1:14" ht="21.75" customHeight="1" x14ac:dyDescent="0.25"/>
    <row r="63" spans="1:14" ht="21.75" customHeight="1" x14ac:dyDescent="0.25"/>
    <row r="64" spans="1:14" ht="21.75" customHeight="1" x14ac:dyDescent="0.25"/>
    <row r="65" spans="1:14" ht="21.75" customHeight="1" x14ac:dyDescent="0.25"/>
    <row r="66" spans="1:14" ht="21.75" customHeight="1" x14ac:dyDescent="0.25">
      <c r="A66" s="118" t="s">
        <v>76</v>
      </c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</row>
    <row r="67" spans="1:14" ht="21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</row>
    <row r="68" spans="1:14" ht="21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</row>
    <row r="69" spans="1:14" ht="21.75" customHeight="1" x14ac:dyDescent="0.25"/>
    <row r="70" spans="1:14" ht="21.75" customHeight="1" x14ac:dyDescent="0.25">
      <c r="A70" s="119" t="s">
        <v>77</v>
      </c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</row>
    <row r="71" spans="1:14" ht="21.75" customHeight="1" x14ac:dyDescent="0.25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</row>
    <row r="72" spans="1:14" ht="21.75" customHeight="1" x14ac:dyDescent="0.25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</row>
    <row r="73" spans="1:14" ht="21.75" customHeight="1" x14ac:dyDescent="0.25"/>
    <row r="74" spans="1:14" ht="21.75" customHeight="1" x14ac:dyDescent="0.25">
      <c r="A74" s="114" t="s">
        <v>78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</row>
    <row r="75" spans="1:14" ht="21.75" customHeight="1" x14ac:dyDescent="0.2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</row>
    <row r="76" spans="1:14" ht="21.75" customHeight="1" x14ac:dyDescent="0.2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</row>
    <row r="77" spans="1:14" ht="21.75" customHeight="1" x14ac:dyDescent="0.25"/>
    <row r="78" spans="1:14" ht="21.75" customHeight="1" x14ac:dyDescent="0.25">
      <c r="A78" s="115" t="s">
        <v>79</v>
      </c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</row>
    <row r="79" spans="1:14" ht="21.75" customHeight="1" x14ac:dyDescent="0.25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</row>
    <row r="80" spans="1:14" x14ac:dyDescent="0.25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</row>
    <row r="81" spans="1:14" x14ac:dyDescent="0.25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</row>
    <row r="82" spans="1:14" x14ac:dyDescent="0.25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</row>
  </sheetData>
  <sheetProtection password="9233" sheet="1"/>
  <mergeCells count="12">
    <mergeCell ref="A1:N3"/>
    <mergeCell ref="A11:F11"/>
    <mergeCell ref="H11:N11"/>
    <mergeCell ref="A24:F24"/>
    <mergeCell ref="H24:N24"/>
    <mergeCell ref="A74:N76"/>
    <mergeCell ref="A78:N82"/>
    <mergeCell ref="A38:N38"/>
    <mergeCell ref="F46:N52"/>
    <mergeCell ref="A54:N54"/>
    <mergeCell ref="A66:N68"/>
    <mergeCell ref="A70:N72"/>
  </mergeCells>
  <conditionalFormatting sqref="A13:F18">
    <cfRule type="expression" dxfId="49" priority="2">
      <formula>$C13="Submitted"</formula>
    </cfRule>
    <cfRule type="expression" dxfId="48" priority="3">
      <formula>$C13="Due Soon"</formula>
    </cfRule>
    <cfRule type="expression" dxfId="47" priority="4">
      <formula>$C13="Overdue"</formula>
    </cfRule>
    <cfRule type="expression" dxfId="46" priority="5">
      <formula>$C13="For Checking"</formula>
    </cfRule>
    <cfRule type="expression" dxfId="45" priority="6">
      <formula>$C13="Returned"</formula>
    </cfRule>
  </conditionalFormatting>
  <conditionalFormatting sqref="A56:H58">
    <cfRule type="expression" dxfId="44" priority="7">
      <formula>$G56="Submitted"</formula>
    </cfRule>
    <cfRule type="expression" dxfId="43" priority="8">
      <formula>$G56="For Checking"</formula>
    </cfRule>
    <cfRule type="expression" dxfId="42" priority="9">
      <formula>$G56="Returned"</formula>
    </cfRule>
  </conditionalFormatting>
  <pageMargins left="0.25" right="0.25" top="0.4" bottom="0.4" header="0.511811023622047" footer="0.511811023622047"/>
  <pageSetup paperSize="9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4"/>
  <sheetViews>
    <sheetView showGridLines="0" tabSelected="1" zoomScaleNormal="100" workbookViewId="0">
      <selection sqref="A1:N3"/>
    </sheetView>
  </sheetViews>
  <sheetFormatPr defaultColWidth="8.7109375" defaultRowHeight="15" x14ac:dyDescent="0.25"/>
  <cols>
    <col min="1" max="1" width="4" customWidth="1"/>
    <col min="2" max="4" width="18" customWidth="1"/>
    <col min="5" max="5" width="4" customWidth="1"/>
    <col min="6" max="8" width="18" customWidth="1"/>
    <col min="9" max="9" width="4" customWidth="1"/>
    <col min="10" max="13" width="18" customWidth="1"/>
    <col min="14" max="14" width="4" customWidth="1"/>
    <col min="27" max="28" width="13" hidden="1" customWidth="1"/>
  </cols>
  <sheetData>
    <row r="1" spans="1:28" ht="24" customHeight="1" x14ac:dyDescent="0.25">
      <c r="A1" s="112" t="s">
        <v>80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AA1" t="s">
        <v>81</v>
      </c>
      <c r="AB1" t="s">
        <v>2</v>
      </c>
    </row>
    <row r="2" spans="1:28" ht="24" customHeight="1" x14ac:dyDescent="0.2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AA2" t="s">
        <v>82</v>
      </c>
      <c r="AB2">
        <f>COUNTA(Student_Masterlist!B6:B230)</f>
        <v>145</v>
      </c>
    </row>
    <row r="3" spans="1:28" ht="24" customHeight="1" x14ac:dyDescent="0.25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AA3" t="s">
        <v>83</v>
      </c>
      <c r="AB3">
        <f>COUNTIF(Student_Masterlist!N6:N230,"Active")</f>
        <v>145</v>
      </c>
    </row>
    <row r="4" spans="1:28" ht="24" customHeight="1" x14ac:dyDescent="0.25">
      <c r="AA4" t="s">
        <v>84</v>
      </c>
      <c r="AB4">
        <f>COUNTIF(Student_Masterlist!N6:N230,"For Verification")</f>
        <v>0</v>
      </c>
    </row>
    <row r="5" spans="1:28" ht="24" customHeight="1" x14ac:dyDescent="0.25">
      <c r="A5" s="49" t="s">
        <v>85</v>
      </c>
      <c r="B5" s="50"/>
      <c r="C5" s="50"/>
      <c r="D5" s="51" t="s">
        <v>86</v>
      </c>
      <c r="E5" s="52"/>
      <c r="F5" s="52"/>
      <c r="G5" s="53" t="s">
        <v>87</v>
      </c>
      <c r="H5" s="54"/>
      <c r="I5" s="54"/>
      <c r="J5" s="55" t="s">
        <v>88</v>
      </c>
      <c r="K5" s="56"/>
      <c r="L5" s="56"/>
      <c r="M5" s="57" t="s">
        <v>89</v>
      </c>
      <c r="N5" s="58"/>
      <c r="AA5" t="s">
        <v>90</v>
      </c>
      <c r="AB5">
        <f>COUNTIF(Student_Masterlist!N6:N230,"Transferred Out")</f>
        <v>0</v>
      </c>
    </row>
    <row r="6" spans="1:28" ht="24" customHeight="1" x14ac:dyDescent="0.4">
      <c r="A6" s="50"/>
      <c r="B6" s="59">
        <f>AB2</f>
        <v>145</v>
      </c>
      <c r="C6" s="50"/>
      <c r="D6" s="52"/>
      <c r="E6" s="60">
        <f>AB3</f>
        <v>145</v>
      </c>
      <c r="F6" s="52"/>
      <c r="G6" s="54"/>
      <c r="H6" s="61">
        <f>AB4</f>
        <v>0</v>
      </c>
      <c r="I6" s="54"/>
      <c r="J6" s="56"/>
      <c r="K6" s="62">
        <f>AB5</f>
        <v>0</v>
      </c>
      <c r="L6" s="56"/>
      <c r="M6" s="58"/>
      <c r="N6" s="63">
        <f>AB7</f>
        <v>190</v>
      </c>
      <c r="AA6" t="s">
        <v>91</v>
      </c>
      <c r="AB6">
        <f>COUNTIF(Student_Masterlist!N6:N230,"Dropped")</f>
        <v>0</v>
      </c>
    </row>
    <row r="7" spans="1:28" ht="24" customHeight="1" x14ac:dyDescent="0.25">
      <c r="A7" s="50"/>
      <c r="B7" s="50"/>
      <c r="C7" s="50"/>
      <c r="D7" s="52"/>
      <c r="E7" s="52"/>
      <c r="F7" s="52"/>
      <c r="G7" s="54"/>
      <c r="H7" s="54"/>
      <c r="I7" s="54"/>
      <c r="J7" s="56"/>
      <c r="K7" s="56"/>
      <c r="L7" s="56"/>
      <c r="M7" s="58"/>
      <c r="N7" s="58"/>
      <c r="AA7" t="s">
        <v>92</v>
      </c>
      <c r="AB7">
        <f>COUNTIF(Student_Masterlist!W6:W230,"&lt;&gt;OK")</f>
        <v>190</v>
      </c>
    </row>
    <row r="8" spans="1:28" ht="24" customHeight="1" x14ac:dyDescent="0.25">
      <c r="A8" s="64" t="s">
        <v>93</v>
      </c>
      <c r="B8" s="50"/>
      <c r="C8" s="50"/>
      <c r="D8" s="65" t="s">
        <v>94</v>
      </c>
      <c r="E8" s="52"/>
      <c r="F8" s="52"/>
      <c r="G8" s="66" t="s">
        <v>95</v>
      </c>
      <c r="H8" s="54"/>
      <c r="I8" s="54"/>
      <c r="J8" s="67" t="s">
        <v>96</v>
      </c>
      <c r="K8" s="56"/>
      <c r="L8" s="56"/>
      <c r="M8" s="68" t="s">
        <v>97</v>
      </c>
      <c r="N8" s="58"/>
    </row>
    <row r="9" spans="1:28" ht="24" customHeight="1" x14ac:dyDescent="0.25"/>
    <row r="10" spans="1:28" ht="24" customHeight="1" x14ac:dyDescent="0.25"/>
    <row r="11" spans="1:28" ht="24" customHeight="1" x14ac:dyDescent="0.25">
      <c r="A11" s="113" t="s">
        <v>98</v>
      </c>
      <c r="B11" s="113"/>
      <c r="C11" s="113"/>
      <c r="D11" s="113"/>
      <c r="E11" s="113"/>
      <c r="F11" s="113"/>
      <c r="G11" s="113"/>
      <c r="H11" s="113"/>
    </row>
    <row r="12" spans="1:28" ht="24" customHeight="1" x14ac:dyDescent="0.25">
      <c r="A12" s="69" t="s">
        <v>99</v>
      </c>
      <c r="B12" s="69" t="s">
        <v>100</v>
      </c>
      <c r="C12" s="69" t="s">
        <v>101</v>
      </c>
      <c r="D12" s="69" t="s">
        <v>84</v>
      </c>
      <c r="E12" s="69" t="s">
        <v>90</v>
      </c>
      <c r="F12" s="69" t="s">
        <v>91</v>
      </c>
      <c r="G12" s="69" t="s">
        <v>102</v>
      </c>
      <c r="H12" s="69" t="s">
        <v>103</v>
      </c>
    </row>
    <row r="13" spans="1:28" ht="24" customHeight="1" x14ac:dyDescent="0.25">
      <c r="A13" s="29" t="s">
        <v>9</v>
      </c>
      <c r="B13" s="29" t="s">
        <v>104</v>
      </c>
      <c r="C13" s="29">
        <f>COUNTIFS(Student_Masterlist!J:J,A13,Student_Masterlist!K:K,B13,Student_Masterlist!N:N,"Active")</f>
        <v>15</v>
      </c>
      <c r="D13" s="29">
        <f>COUNTIFS(Student_Masterlist!J:J,A13,Student_Masterlist!K:K,B13,Student_Masterlist!N:N,"For Verification")</f>
        <v>0</v>
      </c>
      <c r="E13" s="29">
        <f>COUNTIFS(Student_Masterlist!J:J,A13,Student_Masterlist!K:K,B13,Student_Masterlist!N:N,"Transferred Out")</f>
        <v>0</v>
      </c>
      <c r="F13" s="29">
        <f>COUNTIFS(Student_Masterlist!J:J,A13,Student_Masterlist!K:K,B13,Student_Masterlist!N:N,"Dropped")</f>
        <v>0</v>
      </c>
      <c r="G13" s="29">
        <f>COUNTIFS(Student_Masterlist!J:J,A13,Student_Masterlist!K:K,B13)</f>
        <v>15</v>
      </c>
      <c r="H13" s="29" t="s">
        <v>105</v>
      </c>
    </row>
    <row r="14" spans="1:28" ht="24" customHeight="1" x14ac:dyDescent="0.25">
      <c r="A14" s="29" t="s">
        <v>12</v>
      </c>
      <c r="B14" s="29" t="s">
        <v>106</v>
      </c>
      <c r="C14" s="29">
        <f>COUNTIFS(Student_Masterlist!J:J,A14,Student_Masterlist!K:K,B14,Student_Masterlist!N:N,"Active")</f>
        <v>20</v>
      </c>
      <c r="D14" s="29">
        <f>COUNTIFS(Student_Masterlist!J:J,A14,Student_Masterlist!K:K,B14,Student_Masterlist!N:N,"For Verification")</f>
        <v>0</v>
      </c>
      <c r="E14" s="29">
        <f>COUNTIFS(Student_Masterlist!J:J,A14,Student_Masterlist!K:K,B14,Student_Masterlist!N:N,"Transferred Out")</f>
        <v>0</v>
      </c>
      <c r="F14" s="29">
        <f>COUNTIFS(Student_Masterlist!J:J,A14,Student_Masterlist!K:K,B14,Student_Masterlist!N:N,"Dropped")</f>
        <v>0</v>
      </c>
      <c r="G14" s="29">
        <f>COUNTIFS(Student_Masterlist!J:J,A14,Student_Masterlist!K:K,B14)</f>
        <v>20</v>
      </c>
      <c r="H14" s="29" t="s">
        <v>107</v>
      </c>
    </row>
    <row r="15" spans="1:28" ht="24" customHeight="1" x14ac:dyDescent="0.25">
      <c r="A15" s="29" t="s">
        <v>23</v>
      </c>
      <c r="B15" s="29" t="s">
        <v>108</v>
      </c>
      <c r="C15" s="29">
        <f>COUNTIFS(Student_Masterlist!J:J,A15,Student_Masterlist!K:K,B15,Student_Masterlist!N:N,"Active")</f>
        <v>20</v>
      </c>
      <c r="D15" s="29">
        <f>COUNTIFS(Student_Masterlist!J:J,A15,Student_Masterlist!K:K,B15,Student_Masterlist!N:N,"For Verification")</f>
        <v>0</v>
      </c>
      <c r="E15" s="29">
        <f>COUNTIFS(Student_Masterlist!J:J,A15,Student_Masterlist!K:K,B15,Student_Masterlist!N:N,"Transferred Out")</f>
        <v>0</v>
      </c>
      <c r="F15" s="29">
        <f>COUNTIFS(Student_Masterlist!J:J,A15,Student_Masterlist!K:K,B15,Student_Masterlist!N:N,"Dropped")</f>
        <v>0</v>
      </c>
      <c r="G15" s="29">
        <f>COUNTIFS(Student_Masterlist!J:J,A15,Student_Masterlist!K:K,B15)</f>
        <v>20</v>
      </c>
      <c r="H15" s="29" t="s">
        <v>109</v>
      </c>
    </row>
    <row r="16" spans="1:28" ht="24" customHeight="1" x14ac:dyDescent="0.25">
      <c r="A16" s="29" t="s">
        <v>26</v>
      </c>
      <c r="B16" s="29" t="s">
        <v>110</v>
      </c>
      <c r="C16" s="29">
        <f>COUNTIFS(Student_Masterlist!J:J,A16,Student_Masterlist!K:K,B16,Student_Masterlist!N:N,"Active")</f>
        <v>20</v>
      </c>
      <c r="D16" s="29">
        <f>COUNTIFS(Student_Masterlist!J:J,A16,Student_Masterlist!K:K,B16,Student_Masterlist!N:N,"For Verification")</f>
        <v>0</v>
      </c>
      <c r="E16" s="29">
        <f>COUNTIFS(Student_Masterlist!J:J,A16,Student_Masterlist!K:K,B16,Student_Masterlist!N:N,"Transferred Out")</f>
        <v>0</v>
      </c>
      <c r="F16" s="29">
        <f>COUNTIFS(Student_Masterlist!J:J,A16,Student_Masterlist!K:K,B16,Student_Masterlist!N:N,"Dropped")</f>
        <v>0</v>
      </c>
      <c r="G16" s="29">
        <f>COUNTIFS(Student_Masterlist!J:J,A16,Student_Masterlist!K:K,B16)</f>
        <v>20</v>
      </c>
      <c r="H16" s="29" t="s">
        <v>111</v>
      </c>
    </row>
    <row r="17" spans="1:8" ht="24" customHeight="1" x14ac:dyDescent="0.25">
      <c r="A17" s="29" t="s">
        <v>39</v>
      </c>
      <c r="B17" s="29" t="s">
        <v>112</v>
      </c>
      <c r="C17" s="29">
        <f>COUNTIFS(Student_Masterlist!J:J,A17,Student_Masterlist!K:K,B17,Student_Masterlist!N:N,"Active")</f>
        <v>16</v>
      </c>
      <c r="D17" s="29">
        <f>COUNTIFS(Student_Masterlist!J:J,A17,Student_Masterlist!K:K,B17,Student_Masterlist!N:N,"For Verification")</f>
        <v>0</v>
      </c>
      <c r="E17" s="29">
        <f>COUNTIFS(Student_Masterlist!J:J,A17,Student_Masterlist!K:K,B17,Student_Masterlist!N:N,"Transferred Out")</f>
        <v>0</v>
      </c>
      <c r="F17" s="29">
        <f>COUNTIFS(Student_Masterlist!J:J,A17,Student_Masterlist!K:K,B17,Student_Masterlist!N:N,"Dropped")</f>
        <v>0</v>
      </c>
      <c r="G17" s="29">
        <f>COUNTIFS(Student_Masterlist!J:J,A17,Student_Masterlist!K:K,B17)</f>
        <v>16</v>
      </c>
      <c r="H17" s="29" t="s">
        <v>113</v>
      </c>
    </row>
    <row r="18" spans="1:8" ht="24" customHeight="1" x14ac:dyDescent="0.25">
      <c r="A18" s="29" t="s">
        <v>42</v>
      </c>
      <c r="B18" s="29" t="s">
        <v>114</v>
      </c>
      <c r="C18" s="29">
        <f>COUNTIFS(Student_Masterlist!J:J,A18,Student_Masterlist!K:K,B18,Student_Masterlist!N:N,"Active")</f>
        <v>21</v>
      </c>
      <c r="D18" s="29">
        <f>COUNTIFS(Student_Masterlist!J:J,A18,Student_Masterlist!K:K,B18,Student_Masterlist!N:N,"For Verification")</f>
        <v>0</v>
      </c>
      <c r="E18" s="29">
        <f>COUNTIFS(Student_Masterlist!J:J,A18,Student_Masterlist!K:K,B18,Student_Masterlist!N:N,"Transferred Out")</f>
        <v>0</v>
      </c>
      <c r="F18" s="29">
        <f>COUNTIFS(Student_Masterlist!J:J,A18,Student_Masterlist!K:K,B18,Student_Masterlist!N:N,"Dropped")</f>
        <v>0</v>
      </c>
      <c r="G18" s="29">
        <f>COUNTIFS(Student_Masterlist!J:J,A18,Student_Masterlist!K:K,B18)</f>
        <v>21</v>
      </c>
      <c r="H18" s="29" t="s">
        <v>115</v>
      </c>
    </row>
    <row r="19" spans="1:8" ht="24" customHeight="1" x14ac:dyDescent="0.25">
      <c r="A19" s="29" t="s">
        <v>44</v>
      </c>
      <c r="B19" s="29" t="s">
        <v>116</v>
      </c>
      <c r="C19" s="29">
        <f>COUNTIFS(Student_Masterlist!J:J,A19,Student_Masterlist!K:K,B19,Student_Masterlist!N:N,"Active")</f>
        <v>33</v>
      </c>
      <c r="D19" s="29">
        <f>COUNTIFS(Student_Masterlist!J:J,A19,Student_Masterlist!K:K,B19,Student_Masterlist!N:N,"For Verification")</f>
        <v>0</v>
      </c>
      <c r="E19" s="29">
        <f>COUNTIFS(Student_Masterlist!J:J,A19,Student_Masterlist!K:K,B19,Student_Masterlist!N:N,"Transferred Out")</f>
        <v>0</v>
      </c>
      <c r="F19" s="29">
        <f>COUNTIFS(Student_Masterlist!J:J,A19,Student_Masterlist!K:K,B19,Student_Masterlist!N:N,"Dropped")</f>
        <v>0</v>
      </c>
      <c r="G19" s="29">
        <f>COUNTIFS(Student_Masterlist!J:J,A19,Student_Masterlist!K:K,B19)</f>
        <v>33</v>
      </c>
      <c r="H19" s="29" t="s">
        <v>117</v>
      </c>
    </row>
    <row r="20" spans="1:8" ht="24" customHeight="1" x14ac:dyDescent="0.25"/>
    <row r="21" spans="1:8" ht="24" customHeight="1" x14ac:dyDescent="0.25"/>
    <row r="22" spans="1:8" ht="24" customHeight="1" x14ac:dyDescent="0.25"/>
    <row r="23" spans="1:8" ht="24" customHeight="1" x14ac:dyDescent="0.25"/>
    <row r="24" spans="1:8" ht="24" customHeight="1" x14ac:dyDescent="0.25"/>
    <row r="25" spans="1:8" ht="24" customHeight="1" x14ac:dyDescent="0.25"/>
    <row r="26" spans="1:8" ht="24" customHeight="1" x14ac:dyDescent="0.25"/>
    <row r="27" spans="1:8" ht="24" customHeight="1" x14ac:dyDescent="0.25"/>
    <row r="28" spans="1:8" ht="24" customHeight="1" x14ac:dyDescent="0.25"/>
    <row r="29" spans="1:8" ht="24" customHeight="1" x14ac:dyDescent="0.25"/>
    <row r="30" spans="1:8" ht="24" customHeight="1" x14ac:dyDescent="0.25"/>
    <row r="31" spans="1:8" ht="24" customHeight="1" x14ac:dyDescent="0.25"/>
    <row r="32" spans="1:8" ht="24" customHeight="1" x14ac:dyDescent="0.25"/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  <row r="38" ht="24" customHeight="1" x14ac:dyDescent="0.25"/>
    <row r="39" ht="24" customHeight="1" x14ac:dyDescent="0.25"/>
    <row r="40" ht="24" customHeight="1" x14ac:dyDescent="0.25"/>
    <row r="41" ht="24" customHeight="1" x14ac:dyDescent="0.25"/>
    <row r="42" ht="24" customHeight="1" x14ac:dyDescent="0.25"/>
    <row r="43" ht="24" customHeight="1" x14ac:dyDescent="0.25"/>
    <row r="44" ht="24" customHeight="1" x14ac:dyDescent="0.25"/>
    <row r="45" ht="24" customHeight="1" x14ac:dyDescent="0.25"/>
    <row r="46" ht="24" customHeight="1" x14ac:dyDescent="0.25"/>
    <row r="47" ht="24" customHeight="1" x14ac:dyDescent="0.25"/>
    <row r="48" ht="24" customHeight="1" x14ac:dyDescent="0.25"/>
    <row r="49" ht="24" customHeight="1" x14ac:dyDescent="0.25"/>
    <row r="50" ht="24" customHeight="1" x14ac:dyDescent="0.25"/>
    <row r="51" ht="24" customHeight="1" x14ac:dyDescent="0.25"/>
    <row r="52" ht="24" customHeight="1" x14ac:dyDescent="0.25"/>
    <row r="53" ht="24" customHeight="1" x14ac:dyDescent="0.25"/>
    <row r="54" ht="24" customHeight="1" x14ac:dyDescent="0.25"/>
  </sheetData>
  <mergeCells count="2">
    <mergeCell ref="A1:N3"/>
    <mergeCell ref="A11:H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4" width="18" customWidth="1"/>
    <col min="5" max="5" width="16" customWidth="1"/>
    <col min="6" max="6" width="28" customWidth="1"/>
    <col min="7" max="7" width="8" customWidth="1"/>
    <col min="8" max="8" width="14" customWidth="1"/>
    <col min="9" max="9" width="8" customWidth="1"/>
    <col min="10" max="10" width="12" customWidth="1"/>
    <col min="11" max="11" width="14" customWidth="1"/>
    <col min="12" max="12" width="28" customWidth="1"/>
    <col min="13" max="13" width="14" customWidth="1"/>
    <col min="14" max="14" width="18" customWidth="1"/>
    <col min="15" max="15" width="14" customWidth="1"/>
    <col min="16" max="16" width="24" customWidth="1"/>
    <col min="17" max="17" width="18" customWidth="1"/>
    <col min="18" max="18" width="30" customWidth="1"/>
    <col min="19" max="19" width="18" customWidth="1"/>
    <col min="20" max="20" width="14" customWidth="1"/>
    <col min="21" max="21" width="30" customWidth="1"/>
    <col min="22" max="22" width="28" customWidth="1"/>
    <col min="23" max="23" width="20" customWidth="1"/>
  </cols>
  <sheetData>
    <row r="1" spans="1:23" ht="15" customHeight="1" x14ac:dyDescent="0.25">
      <c r="A1" s="121" t="s">
        <v>118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</row>
    <row r="2" spans="1:23" ht="15" customHeight="1" x14ac:dyDescent="0.2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</row>
    <row r="3" spans="1:23" ht="15" customHeight="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</row>
    <row r="5" spans="1:23" ht="23.25" customHeight="1" x14ac:dyDescent="0.25">
      <c r="A5" s="69" t="s">
        <v>119</v>
      </c>
      <c r="B5" s="69" t="s">
        <v>120</v>
      </c>
      <c r="C5" s="69" t="s">
        <v>121</v>
      </c>
      <c r="D5" s="69" t="s">
        <v>122</v>
      </c>
      <c r="E5" s="69" t="s">
        <v>123</v>
      </c>
      <c r="F5" s="69" t="s">
        <v>124</v>
      </c>
      <c r="G5" s="69" t="s">
        <v>125</v>
      </c>
      <c r="H5" s="69" t="s">
        <v>126</v>
      </c>
      <c r="I5" s="69" t="s">
        <v>127</v>
      </c>
      <c r="J5" s="69" t="s">
        <v>99</v>
      </c>
      <c r="K5" s="69" t="s">
        <v>100</v>
      </c>
      <c r="L5" s="69" t="s">
        <v>103</v>
      </c>
      <c r="M5" s="69" t="s">
        <v>128</v>
      </c>
      <c r="N5" s="69" t="s">
        <v>129</v>
      </c>
      <c r="O5" s="69" t="s">
        <v>130</v>
      </c>
      <c r="P5" s="69" t="s">
        <v>131</v>
      </c>
      <c r="Q5" s="69" t="s">
        <v>132</v>
      </c>
      <c r="R5" s="69" t="s">
        <v>133</v>
      </c>
      <c r="S5" s="69" t="s">
        <v>134</v>
      </c>
      <c r="T5" s="69" t="s">
        <v>135</v>
      </c>
      <c r="U5" s="69" t="s">
        <v>136</v>
      </c>
      <c r="V5" s="69" t="s">
        <v>59</v>
      </c>
      <c r="W5" s="69" t="s">
        <v>137</v>
      </c>
    </row>
    <row r="6" spans="1:23" ht="23.25" customHeight="1" x14ac:dyDescent="0.25">
      <c r="A6" s="47">
        <v>1</v>
      </c>
      <c r="B6" s="47" t="s">
        <v>138</v>
      </c>
      <c r="C6" s="47" t="s">
        <v>139</v>
      </c>
      <c r="D6" s="47" t="s">
        <v>140</v>
      </c>
      <c r="E6" s="47"/>
      <c r="F6" s="47" t="str">
        <f t="shared" ref="F6:F69" si="0">TRIM(D6&amp;" "&amp;E6&amp;" "&amp;C6)</f>
        <v>Sample Learner001</v>
      </c>
      <c r="G6" s="47"/>
      <c r="H6" s="70"/>
      <c r="I6" s="47" t="str">
        <f t="shared" ref="I6:I69" ca="1" si="1">IF(H6="","",DATEDIF(H6,TODAY(),"Y"))</f>
        <v/>
      </c>
      <c r="J6" s="47" t="s">
        <v>9</v>
      </c>
      <c r="K6" s="47" t="s">
        <v>104</v>
      </c>
      <c r="L6" s="47" t="s">
        <v>105</v>
      </c>
      <c r="M6" s="47" t="s">
        <v>14</v>
      </c>
      <c r="N6" s="47" t="s">
        <v>101</v>
      </c>
      <c r="O6" s="70">
        <v>46230</v>
      </c>
      <c r="P6" s="47"/>
      <c r="Q6" s="47"/>
      <c r="R6" s="47"/>
      <c r="S6" s="47" t="s">
        <v>141</v>
      </c>
      <c r="T6" s="70">
        <v>46230</v>
      </c>
      <c r="U6" s="47" t="s">
        <v>142</v>
      </c>
      <c r="V6" s="47"/>
      <c r="W6" s="47" t="str">
        <f t="shared" ref="W6:W20" si="2">IF(B6="","Missing LRN",IF(OR(J6="",K6=""),"Missing Grade/Section","OK"))</f>
        <v>OK</v>
      </c>
    </row>
    <row r="7" spans="1:23" ht="23.25" customHeight="1" x14ac:dyDescent="0.25">
      <c r="A7" s="47">
        <v>2</v>
      </c>
      <c r="B7" s="47" t="s">
        <v>143</v>
      </c>
      <c r="C7" s="47" t="s">
        <v>144</v>
      </c>
      <c r="D7" s="47" t="s">
        <v>140</v>
      </c>
      <c r="E7" s="47"/>
      <c r="F7" s="47" t="str">
        <f t="shared" si="0"/>
        <v>Sample Learner002</v>
      </c>
      <c r="G7" s="47"/>
      <c r="H7" s="70"/>
      <c r="I7" s="47" t="str">
        <f t="shared" ca="1" si="1"/>
        <v/>
      </c>
      <c r="J7" s="47" t="s">
        <v>9</v>
      </c>
      <c r="K7" s="47" t="s">
        <v>104</v>
      </c>
      <c r="L7" s="47" t="s">
        <v>105</v>
      </c>
      <c r="M7" s="47" t="s">
        <v>14</v>
      </c>
      <c r="N7" s="47" t="s">
        <v>101</v>
      </c>
      <c r="O7" s="70">
        <v>46230</v>
      </c>
      <c r="P7" s="47"/>
      <c r="Q7" s="47"/>
      <c r="R7" s="47"/>
      <c r="S7" s="47" t="s">
        <v>141</v>
      </c>
      <c r="T7" s="70">
        <v>46230</v>
      </c>
      <c r="U7" s="47" t="s">
        <v>142</v>
      </c>
      <c r="V7" s="47"/>
      <c r="W7" s="47" t="str">
        <f t="shared" si="2"/>
        <v>OK</v>
      </c>
    </row>
    <row r="8" spans="1:23" ht="23.25" customHeight="1" x14ac:dyDescent="0.25">
      <c r="A8" s="47">
        <v>3</v>
      </c>
      <c r="B8" s="47" t="s">
        <v>145</v>
      </c>
      <c r="C8" s="47" t="s">
        <v>146</v>
      </c>
      <c r="D8" s="47" t="s">
        <v>140</v>
      </c>
      <c r="E8" s="47"/>
      <c r="F8" s="47" t="str">
        <f t="shared" si="0"/>
        <v>Sample Learner003</v>
      </c>
      <c r="G8" s="47"/>
      <c r="H8" s="70"/>
      <c r="I8" s="47" t="str">
        <f t="shared" ca="1" si="1"/>
        <v/>
      </c>
      <c r="J8" s="47" t="s">
        <v>9</v>
      </c>
      <c r="K8" s="47" t="s">
        <v>104</v>
      </c>
      <c r="L8" s="47" t="s">
        <v>105</v>
      </c>
      <c r="M8" s="47" t="s">
        <v>14</v>
      </c>
      <c r="N8" s="47" t="s">
        <v>101</v>
      </c>
      <c r="O8" s="70">
        <v>46230</v>
      </c>
      <c r="P8" s="47"/>
      <c r="Q8" s="47"/>
      <c r="R8" s="47"/>
      <c r="S8" s="47" t="s">
        <v>141</v>
      </c>
      <c r="T8" s="70">
        <v>46230</v>
      </c>
      <c r="U8" s="47" t="s">
        <v>142</v>
      </c>
      <c r="V8" s="47"/>
      <c r="W8" s="47" t="str">
        <f t="shared" si="2"/>
        <v>OK</v>
      </c>
    </row>
    <row r="9" spans="1:23" ht="23.25" customHeight="1" x14ac:dyDescent="0.25">
      <c r="A9" s="47">
        <v>4</v>
      </c>
      <c r="B9" s="47" t="s">
        <v>147</v>
      </c>
      <c r="C9" s="47" t="s">
        <v>148</v>
      </c>
      <c r="D9" s="47" t="s">
        <v>140</v>
      </c>
      <c r="E9" s="47"/>
      <c r="F9" s="47" t="str">
        <f t="shared" si="0"/>
        <v>Sample Learner004</v>
      </c>
      <c r="G9" s="47"/>
      <c r="H9" s="70"/>
      <c r="I9" s="47" t="str">
        <f t="shared" ca="1" si="1"/>
        <v/>
      </c>
      <c r="J9" s="47" t="s">
        <v>9</v>
      </c>
      <c r="K9" s="47" t="s">
        <v>104</v>
      </c>
      <c r="L9" s="47" t="s">
        <v>105</v>
      </c>
      <c r="M9" s="47" t="s">
        <v>14</v>
      </c>
      <c r="N9" s="47" t="s">
        <v>101</v>
      </c>
      <c r="O9" s="70">
        <v>46230</v>
      </c>
      <c r="P9" s="47"/>
      <c r="Q9" s="47"/>
      <c r="R9" s="47"/>
      <c r="S9" s="47" t="s">
        <v>141</v>
      </c>
      <c r="T9" s="70">
        <v>46230</v>
      </c>
      <c r="U9" s="47" t="s">
        <v>142</v>
      </c>
      <c r="V9" s="47"/>
      <c r="W9" s="47" t="str">
        <f t="shared" si="2"/>
        <v>OK</v>
      </c>
    </row>
    <row r="10" spans="1:23" ht="23.25" customHeight="1" x14ac:dyDescent="0.25">
      <c r="A10" s="47">
        <v>5</v>
      </c>
      <c r="B10" s="47" t="s">
        <v>149</v>
      </c>
      <c r="C10" s="47" t="s">
        <v>150</v>
      </c>
      <c r="D10" s="47" t="s">
        <v>140</v>
      </c>
      <c r="E10" s="47"/>
      <c r="F10" s="47" t="str">
        <f t="shared" si="0"/>
        <v>Sample Learner005</v>
      </c>
      <c r="G10" s="47"/>
      <c r="H10" s="70"/>
      <c r="I10" s="47" t="str">
        <f t="shared" ca="1" si="1"/>
        <v/>
      </c>
      <c r="J10" s="47" t="s">
        <v>9</v>
      </c>
      <c r="K10" s="47" t="s">
        <v>104</v>
      </c>
      <c r="L10" s="47" t="s">
        <v>105</v>
      </c>
      <c r="M10" s="47" t="s">
        <v>14</v>
      </c>
      <c r="N10" s="47" t="s">
        <v>101</v>
      </c>
      <c r="O10" s="70">
        <v>46230</v>
      </c>
      <c r="P10" s="47"/>
      <c r="Q10" s="47"/>
      <c r="R10" s="47"/>
      <c r="S10" s="47" t="s">
        <v>141</v>
      </c>
      <c r="T10" s="70">
        <v>46230</v>
      </c>
      <c r="U10" s="47" t="s">
        <v>142</v>
      </c>
      <c r="V10" s="47"/>
      <c r="W10" s="47" t="str">
        <f t="shared" si="2"/>
        <v>OK</v>
      </c>
    </row>
    <row r="11" spans="1:23" ht="23.25" customHeight="1" x14ac:dyDescent="0.25">
      <c r="A11" s="47">
        <v>6</v>
      </c>
      <c r="B11" s="47" t="s">
        <v>151</v>
      </c>
      <c r="C11" s="47" t="s">
        <v>152</v>
      </c>
      <c r="D11" s="47" t="s">
        <v>140</v>
      </c>
      <c r="E11" s="47"/>
      <c r="F11" s="47" t="str">
        <f t="shared" si="0"/>
        <v>Sample Learner006</v>
      </c>
      <c r="G11" s="47"/>
      <c r="H11" s="70"/>
      <c r="I11" s="47" t="str">
        <f t="shared" ca="1" si="1"/>
        <v/>
      </c>
      <c r="J11" s="47" t="s">
        <v>9</v>
      </c>
      <c r="K11" s="47" t="s">
        <v>104</v>
      </c>
      <c r="L11" s="47" t="s">
        <v>105</v>
      </c>
      <c r="M11" s="47" t="s">
        <v>14</v>
      </c>
      <c r="N11" s="47" t="s">
        <v>101</v>
      </c>
      <c r="O11" s="70">
        <v>46230</v>
      </c>
      <c r="P11" s="47"/>
      <c r="Q11" s="47"/>
      <c r="R11" s="47"/>
      <c r="S11" s="47" t="s">
        <v>141</v>
      </c>
      <c r="T11" s="70">
        <v>46230</v>
      </c>
      <c r="U11" s="47" t="s">
        <v>142</v>
      </c>
      <c r="V11" s="47"/>
      <c r="W11" s="47" t="str">
        <f t="shared" si="2"/>
        <v>OK</v>
      </c>
    </row>
    <row r="12" spans="1:23" ht="23.25" customHeight="1" x14ac:dyDescent="0.25">
      <c r="A12" s="47">
        <v>7</v>
      </c>
      <c r="B12" s="47" t="s">
        <v>153</v>
      </c>
      <c r="C12" s="47" t="s">
        <v>154</v>
      </c>
      <c r="D12" s="47" t="s">
        <v>140</v>
      </c>
      <c r="E12" s="47"/>
      <c r="F12" s="47" t="str">
        <f t="shared" si="0"/>
        <v>Sample Learner007</v>
      </c>
      <c r="G12" s="47"/>
      <c r="H12" s="70"/>
      <c r="I12" s="47" t="str">
        <f t="shared" ca="1" si="1"/>
        <v/>
      </c>
      <c r="J12" s="47" t="s">
        <v>9</v>
      </c>
      <c r="K12" s="47" t="s">
        <v>104</v>
      </c>
      <c r="L12" s="47" t="s">
        <v>105</v>
      </c>
      <c r="M12" s="47" t="s">
        <v>14</v>
      </c>
      <c r="N12" s="47" t="s">
        <v>101</v>
      </c>
      <c r="O12" s="70">
        <v>46230</v>
      </c>
      <c r="P12" s="47"/>
      <c r="Q12" s="47"/>
      <c r="R12" s="47"/>
      <c r="S12" s="47" t="s">
        <v>141</v>
      </c>
      <c r="T12" s="70">
        <v>46230</v>
      </c>
      <c r="U12" s="47" t="s">
        <v>142</v>
      </c>
      <c r="V12" s="47"/>
      <c r="W12" s="47" t="str">
        <f t="shared" si="2"/>
        <v>OK</v>
      </c>
    </row>
    <row r="13" spans="1:23" ht="23.25" customHeight="1" x14ac:dyDescent="0.25">
      <c r="A13" s="47">
        <v>8</v>
      </c>
      <c r="B13" s="47" t="s">
        <v>155</v>
      </c>
      <c r="C13" s="47" t="s">
        <v>156</v>
      </c>
      <c r="D13" s="47" t="s">
        <v>140</v>
      </c>
      <c r="E13" s="47"/>
      <c r="F13" s="47" t="str">
        <f t="shared" si="0"/>
        <v>Sample Learner008</v>
      </c>
      <c r="G13" s="47"/>
      <c r="H13" s="70"/>
      <c r="I13" s="47" t="str">
        <f t="shared" ca="1" si="1"/>
        <v/>
      </c>
      <c r="J13" s="47" t="s">
        <v>9</v>
      </c>
      <c r="K13" s="47" t="s">
        <v>104</v>
      </c>
      <c r="L13" s="47" t="s">
        <v>105</v>
      </c>
      <c r="M13" s="47" t="s">
        <v>14</v>
      </c>
      <c r="N13" s="47" t="s">
        <v>101</v>
      </c>
      <c r="O13" s="70">
        <v>46230</v>
      </c>
      <c r="P13" s="47"/>
      <c r="Q13" s="47"/>
      <c r="R13" s="47"/>
      <c r="S13" s="47" t="s">
        <v>141</v>
      </c>
      <c r="T13" s="70">
        <v>46230</v>
      </c>
      <c r="U13" s="47" t="s">
        <v>142</v>
      </c>
      <c r="V13" s="47"/>
      <c r="W13" s="47" t="str">
        <f t="shared" si="2"/>
        <v>OK</v>
      </c>
    </row>
    <row r="14" spans="1:23" ht="23.25" customHeight="1" x14ac:dyDescent="0.25">
      <c r="A14" s="47">
        <v>9</v>
      </c>
      <c r="B14" s="47" t="s">
        <v>157</v>
      </c>
      <c r="C14" s="47" t="s">
        <v>158</v>
      </c>
      <c r="D14" s="47" t="s">
        <v>140</v>
      </c>
      <c r="E14" s="47"/>
      <c r="F14" s="47" t="str">
        <f t="shared" si="0"/>
        <v>Sample Learner009</v>
      </c>
      <c r="G14" s="47"/>
      <c r="H14" s="70"/>
      <c r="I14" s="47" t="str">
        <f t="shared" ca="1" si="1"/>
        <v/>
      </c>
      <c r="J14" s="47" t="s">
        <v>9</v>
      </c>
      <c r="K14" s="47" t="s">
        <v>104</v>
      </c>
      <c r="L14" s="47" t="s">
        <v>105</v>
      </c>
      <c r="M14" s="47" t="s">
        <v>14</v>
      </c>
      <c r="N14" s="47" t="s">
        <v>101</v>
      </c>
      <c r="O14" s="70">
        <v>46230</v>
      </c>
      <c r="P14" s="47"/>
      <c r="Q14" s="47"/>
      <c r="R14" s="47"/>
      <c r="S14" s="47" t="s">
        <v>141</v>
      </c>
      <c r="T14" s="70">
        <v>46230</v>
      </c>
      <c r="U14" s="47" t="s">
        <v>142</v>
      </c>
      <c r="V14" s="47"/>
      <c r="W14" s="47" t="str">
        <f t="shared" si="2"/>
        <v>OK</v>
      </c>
    </row>
    <row r="15" spans="1:23" ht="23.25" customHeight="1" x14ac:dyDescent="0.25">
      <c r="A15" s="47">
        <v>10</v>
      </c>
      <c r="B15" s="47" t="s">
        <v>159</v>
      </c>
      <c r="C15" s="47" t="s">
        <v>160</v>
      </c>
      <c r="D15" s="47" t="s">
        <v>140</v>
      </c>
      <c r="E15" s="47"/>
      <c r="F15" s="47" t="str">
        <f t="shared" si="0"/>
        <v>Sample Learner010</v>
      </c>
      <c r="G15" s="47"/>
      <c r="H15" s="70"/>
      <c r="I15" s="47" t="str">
        <f t="shared" ca="1" si="1"/>
        <v/>
      </c>
      <c r="J15" s="47" t="s">
        <v>9</v>
      </c>
      <c r="K15" s="47" t="s">
        <v>104</v>
      </c>
      <c r="L15" s="47" t="s">
        <v>105</v>
      </c>
      <c r="M15" s="47" t="s">
        <v>14</v>
      </c>
      <c r="N15" s="47" t="s">
        <v>101</v>
      </c>
      <c r="O15" s="70">
        <v>46230</v>
      </c>
      <c r="P15" s="47"/>
      <c r="Q15" s="47"/>
      <c r="R15" s="47"/>
      <c r="S15" s="47" t="s">
        <v>141</v>
      </c>
      <c r="T15" s="70">
        <v>46230</v>
      </c>
      <c r="U15" s="47" t="s">
        <v>142</v>
      </c>
      <c r="V15" s="47"/>
      <c r="W15" s="47" t="str">
        <f t="shared" si="2"/>
        <v>OK</v>
      </c>
    </row>
    <row r="16" spans="1:23" ht="23.25" customHeight="1" x14ac:dyDescent="0.25">
      <c r="A16" s="47">
        <v>11</v>
      </c>
      <c r="B16" s="47" t="s">
        <v>161</v>
      </c>
      <c r="C16" s="47" t="s">
        <v>162</v>
      </c>
      <c r="D16" s="47" t="s">
        <v>140</v>
      </c>
      <c r="E16" s="47"/>
      <c r="F16" s="47" t="str">
        <f t="shared" si="0"/>
        <v>Sample Learner011</v>
      </c>
      <c r="G16" s="47"/>
      <c r="H16" s="70"/>
      <c r="I16" s="47" t="str">
        <f t="shared" ca="1" si="1"/>
        <v/>
      </c>
      <c r="J16" s="47" t="s">
        <v>9</v>
      </c>
      <c r="K16" s="47" t="s">
        <v>104</v>
      </c>
      <c r="L16" s="47" t="s">
        <v>105</v>
      </c>
      <c r="M16" s="47" t="s">
        <v>14</v>
      </c>
      <c r="N16" s="47" t="s">
        <v>101</v>
      </c>
      <c r="O16" s="70">
        <v>46230</v>
      </c>
      <c r="P16" s="47"/>
      <c r="Q16" s="47"/>
      <c r="R16" s="47"/>
      <c r="S16" s="47" t="s">
        <v>141</v>
      </c>
      <c r="T16" s="70">
        <v>46230</v>
      </c>
      <c r="U16" s="47" t="s">
        <v>142</v>
      </c>
      <c r="V16" s="47"/>
      <c r="W16" s="47" t="str">
        <f t="shared" si="2"/>
        <v>OK</v>
      </c>
    </row>
    <row r="17" spans="1:23" ht="23.25" customHeight="1" x14ac:dyDescent="0.25">
      <c r="A17" s="47">
        <v>12</v>
      </c>
      <c r="B17" s="47" t="s">
        <v>163</v>
      </c>
      <c r="C17" s="47" t="s">
        <v>164</v>
      </c>
      <c r="D17" s="47" t="s">
        <v>140</v>
      </c>
      <c r="E17" s="47"/>
      <c r="F17" s="47" t="str">
        <f t="shared" si="0"/>
        <v>Sample Learner012</v>
      </c>
      <c r="G17" s="47"/>
      <c r="H17" s="70"/>
      <c r="I17" s="47" t="str">
        <f t="shared" ca="1" si="1"/>
        <v/>
      </c>
      <c r="J17" s="47" t="s">
        <v>9</v>
      </c>
      <c r="K17" s="47" t="s">
        <v>104</v>
      </c>
      <c r="L17" s="47" t="s">
        <v>105</v>
      </c>
      <c r="M17" s="47" t="s">
        <v>14</v>
      </c>
      <c r="N17" s="47" t="s">
        <v>101</v>
      </c>
      <c r="O17" s="70">
        <v>46230</v>
      </c>
      <c r="P17" s="47"/>
      <c r="Q17" s="47"/>
      <c r="R17" s="47"/>
      <c r="S17" s="47" t="s">
        <v>141</v>
      </c>
      <c r="T17" s="70">
        <v>46230</v>
      </c>
      <c r="U17" s="47" t="s">
        <v>142</v>
      </c>
      <c r="V17" s="47"/>
      <c r="W17" s="47" t="str">
        <f t="shared" si="2"/>
        <v>OK</v>
      </c>
    </row>
    <row r="18" spans="1:23" ht="23.25" customHeight="1" x14ac:dyDescent="0.25">
      <c r="A18" s="47">
        <v>13</v>
      </c>
      <c r="B18" s="47" t="s">
        <v>165</v>
      </c>
      <c r="C18" s="47" t="s">
        <v>166</v>
      </c>
      <c r="D18" s="47" t="s">
        <v>140</v>
      </c>
      <c r="E18" s="47"/>
      <c r="F18" s="47" t="str">
        <f t="shared" si="0"/>
        <v>Sample Learner013</v>
      </c>
      <c r="G18" s="47"/>
      <c r="H18" s="70"/>
      <c r="I18" s="47" t="str">
        <f t="shared" ca="1" si="1"/>
        <v/>
      </c>
      <c r="J18" s="47" t="s">
        <v>9</v>
      </c>
      <c r="K18" s="47" t="s">
        <v>104</v>
      </c>
      <c r="L18" s="47" t="s">
        <v>105</v>
      </c>
      <c r="M18" s="47" t="s">
        <v>14</v>
      </c>
      <c r="N18" s="47" t="s">
        <v>101</v>
      </c>
      <c r="O18" s="70">
        <v>46230</v>
      </c>
      <c r="P18" s="47"/>
      <c r="Q18" s="47"/>
      <c r="R18" s="47"/>
      <c r="S18" s="47" t="s">
        <v>141</v>
      </c>
      <c r="T18" s="70">
        <v>46230</v>
      </c>
      <c r="U18" s="47" t="s">
        <v>142</v>
      </c>
      <c r="V18" s="47"/>
      <c r="W18" s="47" t="str">
        <f t="shared" si="2"/>
        <v>OK</v>
      </c>
    </row>
    <row r="19" spans="1:23" ht="23.25" customHeight="1" x14ac:dyDescent="0.25">
      <c r="A19" s="47">
        <v>14</v>
      </c>
      <c r="B19" s="47" t="s">
        <v>167</v>
      </c>
      <c r="C19" s="47" t="s">
        <v>168</v>
      </c>
      <c r="D19" s="47" t="s">
        <v>140</v>
      </c>
      <c r="E19" s="47"/>
      <c r="F19" s="47" t="str">
        <f t="shared" si="0"/>
        <v>Sample Learner014</v>
      </c>
      <c r="G19" s="47"/>
      <c r="H19" s="70"/>
      <c r="I19" s="47" t="str">
        <f t="shared" ca="1" si="1"/>
        <v/>
      </c>
      <c r="J19" s="47" t="s">
        <v>9</v>
      </c>
      <c r="K19" s="47" t="s">
        <v>104</v>
      </c>
      <c r="L19" s="47" t="s">
        <v>105</v>
      </c>
      <c r="M19" s="47" t="s">
        <v>14</v>
      </c>
      <c r="N19" s="47" t="s">
        <v>101</v>
      </c>
      <c r="O19" s="70">
        <v>46230</v>
      </c>
      <c r="P19" s="47"/>
      <c r="Q19" s="47"/>
      <c r="R19" s="47"/>
      <c r="S19" s="47" t="s">
        <v>141</v>
      </c>
      <c r="T19" s="70">
        <v>46230</v>
      </c>
      <c r="U19" s="47" t="s">
        <v>142</v>
      </c>
      <c r="V19" s="47"/>
      <c r="W19" s="47" t="str">
        <f t="shared" si="2"/>
        <v>OK</v>
      </c>
    </row>
    <row r="20" spans="1:23" ht="23.25" customHeight="1" x14ac:dyDescent="0.25">
      <c r="A20" s="47">
        <v>15</v>
      </c>
      <c r="B20" s="47" t="s">
        <v>169</v>
      </c>
      <c r="C20" s="47" t="s">
        <v>170</v>
      </c>
      <c r="D20" s="47" t="s">
        <v>140</v>
      </c>
      <c r="E20" s="47"/>
      <c r="F20" s="47" t="str">
        <f t="shared" si="0"/>
        <v>Sample Learner015</v>
      </c>
      <c r="G20" s="47"/>
      <c r="H20" s="70"/>
      <c r="I20" s="47" t="str">
        <f t="shared" ca="1" si="1"/>
        <v/>
      </c>
      <c r="J20" s="47" t="s">
        <v>9</v>
      </c>
      <c r="K20" s="47" t="s">
        <v>104</v>
      </c>
      <c r="L20" s="47" t="s">
        <v>105</v>
      </c>
      <c r="M20" s="47" t="s">
        <v>14</v>
      </c>
      <c r="N20" s="47" t="s">
        <v>101</v>
      </c>
      <c r="O20" s="70">
        <v>46230</v>
      </c>
      <c r="P20" s="47"/>
      <c r="Q20" s="47"/>
      <c r="R20" s="47"/>
      <c r="S20" s="47" t="s">
        <v>141</v>
      </c>
      <c r="T20" s="70">
        <v>46230</v>
      </c>
      <c r="U20" s="47" t="s">
        <v>142</v>
      </c>
      <c r="V20" s="47"/>
      <c r="W20" s="47" t="str">
        <f t="shared" si="2"/>
        <v>OK</v>
      </c>
    </row>
    <row r="21" spans="1:23" ht="23.25" customHeight="1" x14ac:dyDescent="0.25">
      <c r="A21" s="47">
        <v>16</v>
      </c>
      <c r="B21" s="47" t="s">
        <v>171</v>
      </c>
      <c r="C21" s="47" t="s">
        <v>172</v>
      </c>
      <c r="D21" s="47" t="s">
        <v>173</v>
      </c>
      <c r="E21" s="47"/>
      <c r="F21" s="47" t="str">
        <f t="shared" si="0"/>
        <v>RONEL F. AKABO</v>
      </c>
      <c r="G21" s="47" t="s">
        <v>174</v>
      </c>
      <c r="H21" s="70"/>
      <c r="I21" s="47" t="str">
        <f t="shared" ca="1" si="1"/>
        <v/>
      </c>
      <c r="J21" s="47" t="s">
        <v>12</v>
      </c>
      <c r="K21" s="47" t="s">
        <v>106</v>
      </c>
      <c r="L21" s="47" t="s">
        <v>107</v>
      </c>
      <c r="M21" s="47" t="s">
        <v>14</v>
      </c>
      <c r="N21" s="47" t="s">
        <v>101</v>
      </c>
      <c r="O21" s="70">
        <v>46230</v>
      </c>
      <c r="P21" s="47"/>
      <c r="Q21" s="47"/>
      <c r="R21" s="47"/>
      <c r="S21" s="47" t="s">
        <v>175</v>
      </c>
      <c r="T21" s="70">
        <v>46230</v>
      </c>
      <c r="U21" s="47" t="s">
        <v>176</v>
      </c>
      <c r="V21" s="47" t="s">
        <v>177</v>
      </c>
      <c r="W21" s="47" t="s">
        <v>178</v>
      </c>
    </row>
    <row r="22" spans="1:23" ht="23.25" customHeight="1" x14ac:dyDescent="0.25">
      <c r="A22" s="47">
        <v>17</v>
      </c>
      <c r="B22" s="47" t="s">
        <v>171</v>
      </c>
      <c r="C22" s="47" t="s">
        <v>172</v>
      </c>
      <c r="D22" s="47" t="s">
        <v>179</v>
      </c>
      <c r="E22" s="47"/>
      <c r="F22" s="47" t="str">
        <f t="shared" si="0"/>
        <v>ROWEL F. AKABO</v>
      </c>
      <c r="G22" s="47" t="s">
        <v>174</v>
      </c>
      <c r="H22" s="70"/>
      <c r="I22" s="47" t="str">
        <f t="shared" ca="1" si="1"/>
        <v/>
      </c>
      <c r="J22" s="47" t="s">
        <v>12</v>
      </c>
      <c r="K22" s="47" t="s">
        <v>106</v>
      </c>
      <c r="L22" s="47" t="s">
        <v>107</v>
      </c>
      <c r="M22" s="47" t="s">
        <v>14</v>
      </c>
      <c r="N22" s="47" t="s">
        <v>101</v>
      </c>
      <c r="O22" s="70">
        <v>46230</v>
      </c>
      <c r="P22" s="47"/>
      <c r="Q22" s="47"/>
      <c r="R22" s="47"/>
      <c r="S22" s="47" t="s">
        <v>175</v>
      </c>
      <c r="T22" s="70">
        <v>46230</v>
      </c>
      <c r="U22" s="47" t="s">
        <v>176</v>
      </c>
      <c r="V22" s="47" t="s">
        <v>177</v>
      </c>
      <c r="W22" s="47" t="s">
        <v>178</v>
      </c>
    </row>
    <row r="23" spans="1:23" ht="23.25" customHeight="1" x14ac:dyDescent="0.25">
      <c r="A23" s="47">
        <v>18</v>
      </c>
      <c r="B23" s="47" t="s">
        <v>171</v>
      </c>
      <c r="C23" s="47" t="s">
        <v>180</v>
      </c>
      <c r="D23" s="47" t="s">
        <v>181</v>
      </c>
      <c r="E23" s="47"/>
      <c r="F23" s="47" t="str">
        <f t="shared" si="0"/>
        <v>DARYL JR. BAUTISTA</v>
      </c>
      <c r="G23" s="47" t="s">
        <v>174</v>
      </c>
      <c r="H23" s="70"/>
      <c r="I23" s="47" t="str">
        <f t="shared" ca="1" si="1"/>
        <v/>
      </c>
      <c r="J23" s="47" t="s">
        <v>12</v>
      </c>
      <c r="K23" s="47" t="s">
        <v>106</v>
      </c>
      <c r="L23" s="47" t="s">
        <v>107</v>
      </c>
      <c r="M23" s="47" t="s">
        <v>14</v>
      </c>
      <c r="N23" s="47" t="s">
        <v>101</v>
      </c>
      <c r="O23" s="70">
        <v>46230</v>
      </c>
      <c r="P23" s="47"/>
      <c r="Q23" s="47"/>
      <c r="R23" s="47"/>
      <c r="S23" s="47" t="s">
        <v>175</v>
      </c>
      <c r="T23" s="70">
        <v>46230</v>
      </c>
      <c r="U23" s="47" t="s">
        <v>176</v>
      </c>
      <c r="V23" s="47" t="s">
        <v>177</v>
      </c>
      <c r="W23" s="47" t="s">
        <v>178</v>
      </c>
    </row>
    <row r="24" spans="1:23" ht="23.25" customHeight="1" x14ac:dyDescent="0.25">
      <c r="A24" s="47">
        <v>19</v>
      </c>
      <c r="B24" s="47" t="s">
        <v>171</v>
      </c>
      <c r="C24" s="47" t="s">
        <v>182</v>
      </c>
      <c r="D24" s="47" t="s">
        <v>183</v>
      </c>
      <c r="E24" s="47"/>
      <c r="F24" s="47" t="str">
        <f t="shared" si="0"/>
        <v>RUILY D. CAÑESO</v>
      </c>
      <c r="G24" s="47" t="s">
        <v>174</v>
      </c>
      <c r="H24" s="70"/>
      <c r="I24" s="47" t="str">
        <f t="shared" ca="1" si="1"/>
        <v/>
      </c>
      <c r="J24" s="47" t="s">
        <v>12</v>
      </c>
      <c r="K24" s="47" t="s">
        <v>106</v>
      </c>
      <c r="L24" s="47" t="s">
        <v>107</v>
      </c>
      <c r="M24" s="47" t="s">
        <v>14</v>
      </c>
      <c r="N24" s="47" t="s">
        <v>101</v>
      </c>
      <c r="O24" s="70">
        <v>46230</v>
      </c>
      <c r="P24" s="47"/>
      <c r="Q24" s="47"/>
      <c r="R24" s="47"/>
      <c r="S24" s="47" t="s">
        <v>175</v>
      </c>
      <c r="T24" s="70">
        <v>46230</v>
      </c>
      <c r="U24" s="47" t="s">
        <v>176</v>
      </c>
      <c r="V24" s="47" t="s">
        <v>177</v>
      </c>
      <c r="W24" s="47" t="s">
        <v>178</v>
      </c>
    </row>
    <row r="25" spans="1:23" ht="23.25" customHeight="1" x14ac:dyDescent="0.25">
      <c r="A25" s="47">
        <v>20</v>
      </c>
      <c r="B25" s="47" t="s">
        <v>171</v>
      </c>
      <c r="C25" s="47" t="s">
        <v>184</v>
      </c>
      <c r="D25" s="47" t="s">
        <v>185</v>
      </c>
      <c r="E25" s="47"/>
      <c r="F25" s="47" t="str">
        <f t="shared" si="0"/>
        <v>ALJUN C. LANANG</v>
      </c>
      <c r="G25" s="47" t="s">
        <v>174</v>
      </c>
      <c r="H25" s="70"/>
      <c r="I25" s="47" t="str">
        <f t="shared" ca="1" si="1"/>
        <v/>
      </c>
      <c r="J25" s="47" t="s">
        <v>12</v>
      </c>
      <c r="K25" s="47" t="s">
        <v>106</v>
      </c>
      <c r="L25" s="47" t="s">
        <v>107</v>
      </c>
      <c r="M25" s="47" t="s">
        <v>14</v>
      </c>
      <c r="N25" s="47" t="s">
        <v>101</v>
      </c>
      <c r="O25" s="70">
        <v>46230</v>
      </c>
      <c r="P25" s="47"/>
      <c r="Q25" s="47"/>
      <c r="R25" s="47"/>
      <c r="S25" s="47" t="s">
        <v>175</v>
      </c>
      <c r="T25" s="70">
        <v>46230</v>
      </c>
      <c r="U25" s="47" t="s">
        <v>176</v>
      </c>
      <c r="V25" s="47" t="s">
        <v>177</v>
      </c>
      <c r="W25" s="47" t="s">
        <v>178</v>
      </c>
    </row>
    <row r="26" spans="1:23" ht="23.25" customHeight="1" x14ac:dyDescent="0.25">
      <c r="A26" s="47">
        <v>21</v>
      </c>
      <c r="B26" s="47" t="s">
        <v>171</v>
      </c>
      <c r="C26" s="47" t="s">
        <v>184</v>
      </c>
      <c r="D26" s="47" t="s">
        <v>186</v>
      </c>
      <c r="E26" s="47"/>
      <c r="F26" s="47" t="str">
        <f t="shared" si="0"/>
        <v>MARVIN O. LANANG</v>
      </c>
      <c r="G26" s="47" t="s">
        <v>174</v>
      </c>
      <c r="H26" s="70"/>
      <c r="I26" s="47" t="str">
        <f t="shared" ca="1" si="1"/>
        <v/>
      </c>
      <c r="J26" s="47" t="s">
        <v>12</v>
      </c>
      <c r="K26" s="47" t="s">
        <v>106</v>
      </c>
      <c r="L26" s="47" t="s">
        <v>107</v>
      </c>
      <c r="M26" s="47" t="s">
        <v>14</v>
      </c>
      <c r="N26" s="47" t="s">
        <v>101</v>
      </c>
      <c r="O26" s="70">
        <v>46230</v>
      </c>
      <c r="P26" s="47"/>
      <c r="Q26" s="47"/>
      <c r="R26" s="47"/>
      <c r="S26" s="47" t="s">
        <v>175</v>
      </c>
      <c r="T26" s="70">
        <v>46230</v>
      </c>
      <c r="U26" s="47" t="s">
        <v>176</v>
      </c>
      <c r="V26" s="47" t="s">
        <v>177</v>
      </c>
      <c r="W26" s="47" t="s">
        <v>178</v>
      </c>
    </row>
    <row r="27" spans="1:23" ht="23.25" customHeight="1" x14ac:dyDescent="0.25">
      <c r="A27" s="47">
        <v>22</v>
      </c>
      <c r="B27" s="47" t="s">
        <v>171</v>
      </c>
      <c r="C27" s="47" t="s">
        <v>187</v>
      </c>
      <c r="D27" s="47" t="s">
        <v>188</v>
      </c>
      <c r="E27" s="47"/>
      <c r="F27" s="47" t="str">
        <f t="shared" si="0"/>
        <v>LARCON M. LOGRONIO</v>
      </c>
      <c r="G27" s="47" t="s">
        <v>174</v>
      </c>
      <c r="H27" s="70"/>
      <c r="I27" s="47" t="str">
        <f t="shared" ca="1" si="1"/>
        <v/>
      </c>
      <c r="J27" s="47" t="s">
        <v>12</v>
      </c>
      <c r="K27" s="47" t="s">
        <v>106</v>
      </c>
      <c r="L27" s="47" t="s">
        <v>107</v>
      </c>
      <c r="M27" s="47" t="s">
        <v>14</v>
      </c>
      <c r="N27" s="47" t="s">
        <v>101</v>
      </c>
      <c r="O27" s="70">
        <v>46230</v>
      </c>
      <c r="P27" s="47"/>
      <c r="Q27" s="47"/>
      <c r="R27" s="47"/>
      <c r="S27" s="47" t="s">
        <v>175</v>
      </c>
      <c r="T27" s="70">
        <v>46230</v>
      </c>
      <c r="U27" s="47" t="s">
        <v>176</v>
      </c>
      <c r="V27" s="47" t="s">
        <v>177</v>
      </c>
      <c r="W27" s="47" t="s">
        <v>178</v>
      </c>
    </row>
    <row r="28" spans="1:23" ht="23.25" customHeight="1" x14ac:dyDescent="0.25">
      <c r="A28" s="47">
        <v>23</v>
      </c>
      <c r="B28" s="47" t="s">
        <v>171</v>
      </c>
      <c r="C28" s="47" t="s">
        <v>189</v>
      </c>
      <c r="D28" s="47" t="s">
        <v>190</v>
      </c>
      <c r="E28" s="47"/>
      <c r="F28" s="47" t="str">
        <f t="shared" si="0"/>
        <v>LEO JOHN M. RIVAS</v>
      </c>
      <c r="G28" s="47" t="s">
        <v>174</v>
      </c>
      <c r="H28" s="70"/>
      <c r="I28" s="47" t="str">
        <f t="shared" ca="1" si="1"/>
        <v/>
      </c>
      <c r="J28" s="47" t="s">
        <v>12</v>
      </c>
      <c r="K28" s="47" t="s">
        <v>106</v>
      </c>
      <c r="L28" s="47" t="s">
        <v>107</v>
      </c>
      <c r="M28" s="47" t="s">
        <v>14</v>
      </c>
      <c r="N28" s="47" t="s">
        <v>101</v>
      </c>
      <c r="O28" s="70">
        <v>46230</v>
      </c>
      <c r="P28" s="47"/>
      <c r="Q28" s="47"/>
      <c r="R28" s="47"/>
      <c r="S28" s="47" t="s">
        <v>175</v>
      </c>
      <c r="T28" s="70">
        <v>46230</v>
      </c>
      <c r="U28" s="47" t="s">
        <v>176</v>
      </c>
      <c r="V28" s="47" t="s">
        <v>177</v>
      </c>
      <c r="W28" s="47" t="s">
        <v>178</v>
      </c>
    </row>
    <row r="29" spans="1:23" ht="23.25" customHeight="1" x14ac:dyDescent="0.25">
      <c r="A29" s="47">
        <v>24</v>
      </c>
      <c r="B29" s="47" t="s">
        <v>171</v>
      </c>
      <c r="C29" s="47" t="s">
        <v>191</v>
      </c>
      <c r="D29" s="47" t="s">
        <v>192</v>
      </c>
      <c r="E29" s="47"/>
      <c r="F29" s="47" t="str">
        <f t="shared" si="0"/>
        <v>JONATHAN JR. TAÑOLA</v>
      </c>
      <c r="G29" s="47" t="s">
        <v>174</v>
      </c>
      <c r="H29" s="70"/>
      <c r="I29" s="47" t="str">
        <f t="shared" ca="1" si="1"/>
        <v/>
      </c>
      <c r="J29" s="47" t="s">
        <v>12</v>
      </c>
      <c r="K29" s="47" t="s">
        <v>106</v>
      </c>
      <c r="L29" s="47" t="s">
        <v>107</v>
      </c>
      <c r="M29" s="47" t="s">
        <v>14</v>
      </c>
      <c r="N29" s="47" t="s">
        <v>101</v>
      </c>
      <c r="O29" s="70">
        <v>46230</v>
      </c>
      <c r="P29" s="47"/>
      <c r="Q29" s="47"/>
      <c r="R29" s="47"/>
      <c r="S29" s="47" t="s">
        <v>175</v>
      </c>
      <c r="T29" s="70">
        <v>46230</v>
      </c>
      <c r="U29" s="47" t="s">
        <v>176</v>
      </c>
      <c r="V29" s="47" t="s">
        <v>177</v>
      </c>
      <c r="W29" s="47" t="s">
        <v>178</v>
      </c>
    </row>
    <row r="30" spans="1:23" ht="23.25" customHeight="1" x14ac:dyDescent="0.25">
      <c r="A30" s="47">
        <v>25</v>
      </c>
      <c r="B30" s="47" t="s">
        <v>171</v>
      </c>
      <c r="C30" s="47" t="s">
        <v>193</v>
      </c>
      <c r="D30" s="47" t="s">
        <v>194</v>
      </c>
      <c r="E30" s="47"/>
      <c r="F30" s="47" t="str">
        <f t="shared" si="0"/>
        <v>NELMAR L. TANOLA</v>
      </c>
      <c r="G30" s="47" t="s">
        <v>174</v>
      </c>
      <c r="H30" s="70"/>
      <c r="I30" s="47" t="str">
        <f t="shared" ca="1" si="1"/>
        <v/>
      </c>
      <c r="J30" s="47" t="s">
        <v>12</v>
      </c>
      <c r="K30" s="47" t="s">
        <v>106</v>
      </c>
      <c r="L30" s="47" t="s">
        <v>107</v>
      </c>
      <c r="M30" s="47" t="s">
        <v>14</v>
      </c>
      <c r="N30" s="47" t="s">
        <v>101</v>
      </c>
      <c r="O30" s="70">
        <v>46230</v>
      </c>
      <c r="P30" s="47"/>
      <c r="Q30" s="47"/>
      <c r="R30" s="47"/>
      <c r="S30" s="47" t="s">
        <v>175</v>
      </c>
      <c r="T30" s="70">
        <v>46230</v>
      </c>
      <c r="U30" s="47" t="s">
        <v>176</v>
      </c>
      <c r="V30" s="47" t="s">
        <v>177</v>
      </c>
      <c r="W30" s="47" t="s">
        <v>178</v>
      </c>
    </row>
    <row r="31" spans="1:23" ht="23.25" customHeight="1" x14ac:dyDescent="0.25">
      <c r="A31" s="47">
        <v>26</v>
      </c>
      <c r="B31" s="47" t="s">
        <v>171</v>
      </c>
      <c r="C31" s="47" t="s">
        <v>195</v>
      </c>
      <c r="D31" s="47" t="s">
        <v>196</v>
      </c>
      <c r="E31" s="47"/>
      <c r="F31" s="47" t="str">
        <f t="shared" si="0"/>
        <v>CHRISTINE MAE M. ALMONTE</v>
      </c>
      <c r="G31" s="47" t="s">
        <v>197</v>
      </c>
      <c r="H31" s="70"/>
      <c r="I31" s="47" t="str">
        <f t="shared" ca="1" si="1"/>
        <v/>
      </c>
      <c r="J31" s="47" t="s">
        <v>12</v>
      </c>
      <c r="K31" s="47" t="s">
        <v>106</v>
      </c>
      <c r="L31" s="47" t="s">
        <v>107</v>
      </c>
      <c r="M31" s="47" t="s">
        <v>14</v>
      </c>
      <c r="N31" s="47" t="s">
        <v>101</v>
      </c>
      <c r="O31" s="70">
        <v>46230</v>
      </c>
      <c r="P31" s="47"/>
      <c r="Q31" s="47"/>
      <c r="R31" s="47"/>
      <c r="S31" s="47" t="s">
        <v>175</v>
      </c>
      <c r="T31" s="70">
        <v>46230</v>
      </c>
      <c r="U31" s="47" t="s">
        <v>176</v>
      </c>
      <c r="V31" s="47" t="s">
        <v>177</v>
      </c>
      <c r="W31" s="47" t="s">
        <v>178</v>
      </c>
    </row>
    <row r="32" spans="1:23" ht="23.25" customHeight="1" x14ac:dyDescent="0.25">
      <c r="A32" s="47">
        <v>27</v>
      </c>
      <c r="B32" s="47" t="s">
        <v>171</v>
      </c>
      <c r="C32" s="47" t="s">
        <v>182</v>
      </c>
      <c r="D32" s="47" t="s">
        <v>198</v>
      </c>
      <c r="E32" s="47"/>
      <c r="F32" s="47" t="str">
        <f t="shared" si="0"/>
        <v>ASHLEY D CAÑESO</v>
      </c>
      <c r="G32" s="47" t="s">
        <v>197</v>
      </c>
      <c r="H32" s="70"/>
      <c r="I32" s="47" t="str">
        <f t="shared" ca="1" si="1"/>
        <v/>
      </c>
      <c r="J32" s="47" t="s">
        <v>12</v>
      </c>
      <c r="K32" s="47" t="s">
        <v>106</v>
      </c>
      <c r="L32" s="47" t="s">
        <v>107</v>
      </c>
      <c r="M32" s="47" t="s">
        <v>14</v>
      </c>
      <c r="N32" s="47" t="s">
        <v>101</v>
      </c>
      <c r="O32" s="70">
        <v>46230</v>
      </c>
      <c r="P32" s="47"/>
      <c r="Q32" s="47"/>
      <c r="R32" s="47"/>
      <c r="S32" s="47" t="s">
        <v>175</v>
      </c>
      <c r="T32" s="70">
        <v>46230</v>
      </c>
      <c r="U32" s="47" t="s">
        <v>176</v>
      </c>
      <c r="V32" s="47" t="s">
        <v>177</v>
      </c>
      <c r="W32" s="47" t="s">
        <v>178</v>
      </c>
    </row>
    <row r="33" spans="1:23" ht="23.25" customHeight="1" x14ac:dyDescent="0.25">
      <c r="A33" s="47">
        <v>28</v>
      </c>
      <c r="B33" s="47" t="s">
        <v>171</v>
      </c>
      <c r="C33" s="47" t="s">
        <v>199</v>
      </c>
      <c r="D33" s="47" t="s">
        <v>200</v>
      </c>
      <c r="E33" s="47"/>
      <c r="F33" s="47" t="str">
        <f t="shared" si="0"/>
        <v>ALEXA RHEAN M. DEDASE</v>
      </c>
      <c r="G33" s="47" t="s">
        <v>197</v>
      </c>
      <c r="H33" s="70"/>
      <c r="I33" s="47" t="str">
        <f t="shared" ca="1" si="1"/>
        <v/>
      </c>
      <c r="J33" s="47" t="s">
        <v>12</v>
      </c>
      <c r="K33" s="47" t="s">
        <v>106</v>
      </c>
      <c r="L33" s="47" t="s">
        <v>107</v>
      </c>
      <c r="M33" s="47" t="s">
        <v>14</v>
      </c>
      <c r="N33" s="47" t="s">
        <v>101</v>
      </c>
      <c r="O33" s="70">
        <v>46230</v>
      </c>
      <c r="P33" s="47"/>
      <c r="Q33" s="47"/>
      <c r="R33" s="47"/>
      <c r="S33" s="47" t="s">
        <v>175</v>
      </c>
      <c r="T33" s="70">
        <v>46230</v>
      </c>
      <c r="U33" s="47" t="s">
        <v>176</v>
      </c>
      <c r="V33" s="47" t="s">
        <v>177</v>
      </c>
      <c r="W33" s="47" t="s">
        <v>178</v>
      </c>
    </row>
    <row r="34" spans="1:23" ht="23.25" customHeight="1" x14ac:dyDescent="0.25">
      <c r="A34" s="47">
        <v>29</v>
      </c>
      <c r="B34" s="47" t="s">
        <v>171</v>
      </c>
      <c r="C34" s="47" t="s">
        <v>201</v>
      </c>
      <c r="D34" s="47" t="s">
        <v>202</v>
      </c>
      <c r="E34" s="47"/>
      <c r="F34" s="47" t="str">
        <f t="shared" si="0"/>
        <v>JOANA MAE T. ESPINA</v>
      </c>
      <c r="G34" s="47" t="s">
        <v>197</v>
      </c>
      <c r="H34" s="70"/>
      <c r="I34" s="47" t="str">
        <f t="shared" ca="1" si="1"/>
        <v/>
      </c>
      <c r="J34" s="47" t="s">
        <v>12</v>
      </c>
      <c r="K34" s="47" t="s">
        <v>106</v>
      </c>
      <c r="L34" s="47" t="s">
        <v>107</v>
      </c>
      <c r="M34" s="47" t="s">
        <v>14</v>
      </c>
      <c r="N34" s="47" t="s">
        <v>101</v>
      </c>
      <c r="O34" s="70">
        <v>46230</v>
      </c>
      <c r="P34" s="47"/>
      <c r="Q34" s="47"/>
      <c r="R34" s="47"/>
      <c r="S34" s="47" t="s">
        <v>175</v>
      </c>
      <c r="T34" s="70">
        <v>46230</v>
      </c>
      <c r="U34" s="47" t="s">
        <v>176</v>
      </c>
      <c r="V34" s="47" t="s">
        <v>177</v>
      </c>
      <c r="W34" s="47" t="s">
        <v>178</v>
      </c>
    </row>
    <row r="35" spans="1:23" ht="23.25" customHeight="1" x14ac:dyDescent="0.25">
      <c r="A35" s="47">
        <v>30</v>
      </c>
      <c r="B35" s="47" t="s">
        <v>171</v>
      </c>
      <c r="C35" s="47" t="s">
        <v>203</v>
      </c>
      <c r="D35" s="47" t="s">
        <v>204</v>
      </c>
      <c r="E35" s="47"/>
      <c r="F35" s="47" t="str">
        <f t="shared" si="0"/>
        <v>RHEAMAY Q. JALANDONI</v>
      </c>
      <c r="G35" s="47" t="s">
        <v>197</v>
      </c>
      <c r="H35" s="70"/>
      <c r="I35" s="47" t="str">
        <f t="shared" ca="1" si="1"/>
        <v/>
      </c>
      <c r="J35" s="47" t="s">
        <v>12</v>
      </c>
      <c r="K35" s="47" t="s">
        <v>106</v>
      </c>
      <c r="L35" s="47" t="s">
        <v>107</v>
      </c>
      <c r="M35" s="47" t="s">
        <v>14</v>
      </c>
      <c r="N35" s="47" t="s">
        <v>101</v>
      </c>
      <c r="O35" s="70">
        <v>46230</v>
      </c>
      <c r="P35" s="47"/>
      <c r="Q35" s="47"/>
      <c r="R35" s="47"/>
      <c r="S35" s="47" t="s">
        <v>175</v>
      </c>
      <c r="T35" s="70">
        <v>46230</v>
      </c>
      <c r="U35" s="47" t="s">
        <v>176</v>
      </c>
      <c r="V35" s="47" t="s">
        <v>177</v>
      </c>
      <c r="W35" s="47" t="s">
        <v>178</v>
      </c>
    </row>
    <row r="36" spans="1:23" ht="23.25" customHeight="1" x14ac:dyDescent="0.25">
      <c r="A36" s="47">
        <v>31</v>
      </c>
      <c r="B36" s="47" t="s">
        <v>171</v>
      </c>
      <c r="C36" s="47" t="s">
        <v>184</v>
      </c>
      <c r="D36" s="47" t="s">
        <v>205</v>
      </c>
      <c r="E36" s="47"/>
      <c r="F36" s="47" t="str">
        <f t="shared" si="0"/>
        <v>IRISH B. LANANG</v>
      </c>
      <c r="G36" s="47" t="s">
        <v>197</v>
      </c>
      <c r="H36" s="70"/>
      <c r="I36" s="47" t="str">
        <f t="shared" ca="1" si="1"/>
        <v/>
      </c>
      <c r="J36" s="47" t="s">
        <v>12</v>
      </c>
      <c r="K36" s="47" t="s">
        <v>106</v>
      </c>
      <c r="L36" s="47" t="s">
        <v>107</v>
      </c>
      <c r="M36" s="47" t="s">
        <v>14</v>
      </c>
      <c r="N36" s="47" t="s">
        <v>101</v>
      </c>
      <c r="O36" s="70">
        <v>46230</v>
      </c>
      <c r="P36" s="47"/>
      <c r="Q36" s="47"/>
      <c r="R36" s="47"/>
      <c r="S36" s="47" t="s">
        <v>175</v>
      </c>
      <c r="T36" s="70">
        <v>46230</v>
      </c>
      <c r="U36" s="47" t="s">
        <v>176</v>
      </c>
      <c r="V36" s="47" t="s">
        <v>177</v>
      </c>
      <c r="W36" s="47" t="s">
        <v>178</v>
      </c>
    </row>
    <row r="37" spans="1:23" ht="23.25" customHeight="1" x14ac:dyDescent="0.25">
      <c r="A37" s="47">
        <v>32</v>
      </c>
      <c r="B37" s="47" t="s">
        <v>171</v>
      </c>
      <c r="C37" s="47" t="s">
        <v>184</v>
      </c>
      <c r="D37" s="47" t="s">
        <v>206</v>
      </c>
      <c r="E37" s="47"/>
      <c r="F37" s="47" t="str">
        <f t="shared" si="0"/>
        <v>JEA B. LANANG</v>
      </c>
      <c r="G37" s="47" t="s">
        <v>197</v>
      </c>
      <c r="H37" s="70"/>
      <c r="I37" s="47" t="str">
        <f t="shared" ca="1" si="1"/>
        <v/>
      </c>
      <c r="J37" s="47" t="s">
        <v>12</v>
      </c>
      <c r="K37" s="47" t="s">
        <v>106</v>
      </c>
      <c r="L37" s="47" t="s">
        <v>107</v>
      </c>
      <c r="M37" s="47" t="s">
        <v>14</v>
      </c>
      <c r="N37" s="47" t="s">
        <v>101</v>
      </c>
      <c r="O37" s="70">
        <v>46230</v>
      </c>
      <c r="P37" s="47"/>
      <c r="Q37" s="47"/>
      <c r="R37" s="47"/>
      <c r="S37" s="47" t="s">
        <v>175</v>
      </c>
      <c r="T37" s="70">
        <v>46230</v>
      </c>
      <c r="U37" s="47" t="s">
        <v>176</v>
      </c>
      <c r="V37" s="47" t="s">
        <v>177</v>
      </c>
      <c r="W37" s="47" t="s">
        <v>178</v>
      </c>
    </row>
    <row r="38" spans="1:23" ht="23.25" customHeight="1" x14ac:dyDescent="0.25">
      <c r="A38" s="47">
        <v>33</v>
      </c>
      <c r="B38" s="47" t="s">
        <v>171</v>
      </c>
      <c r="C38" s="47" t="s">
        <v>189</v>
      </c>
      <c r="D38" s="47" t="s">
        <v>207</v>
      </c>
      <c r="E38" s="47"/>
      <c r="F38" s="47" t="str">
        <f t="shared" si="0"/>
        <v>GHEA MAE B. RIVAS</v>
      </c>
      <c r="G38" s="47" t="s">
        <v>197</v>
      </c>
      <c r="H38" s="70"/>
      <c r="I38" s="47" t="str">
        <f t="shared" ca="1" si="1"/>
        <v/>
      </c>
      <c r="J38" s="47" t="s">
        <v>12</v>
      </c>
      <c r="K38" s="47" t="s">
        <v>106</v>
      </c>
      <c r="L38" s="47" t="s">
        <v>107</v>
      </c>
      <c r="M38" s="47" t="s">
        <v>14</v>
      </c>
      <c r="N38" s="47" t="s">
        <v>101</v>
      </c>
      <c r="O38" s="70">
        <v>46230</v>
      </c>
      <c r="P38" s="47"/>
      <c r="Q38" s="47"/>
      <c r="R38" s="47"/>
      <c r="S38" s="47" t="s">
        <v>175</v>
      </c>
      <c r="T38" s="70">
        <v>46230</v>
      </c>
      <c r="U38" s="47" t="s">
        <v>176</v>
      </c>
      <c r="V38" s="47" t="s">
        <v>177</v>
      </c>
      <c r="W38" s="47" t="s">
        <v>178</v>
      </c>
    </row>
    <row r="39" spans="1:23" ht="23.25" customHeight="1" x14ac:dyDescent="0.25">
      <c r="A39" s="47">
        <v>34</v>
      </c>
      <c r="B39" s="47" t="s">
        <v>171</v>
      </c>
      <c r="C39" s="47" t="s">
        <v>193</v>
      </c>
      <c r="D39" s="47" t="s">
        <v>208</v>
      </c>
      <c r="E39" s="47"/>
      <c r="F39" s="47" t="str">
        <f t="shared" si="0"/>
        <v>JENALYN N. TANOLA</v>
      </c>
      <c r="G39" s="47" t="s">
        <v>197</v>
      </c>
      <c r="H39" s="70"/>
      <c r="I39" s="47" t="str">
        <f t="shared" ca="1" si="1"/>
        <v/>
      </c>
      <c r="J39" s="47" t="s">
        <v>12</v>
      </c>
      <c r="K39" s="47" t="s">
        <v>106</v>
      </c>
      <c r="L39" s="47" t="s">
        <v>107</v>
      </c>
      <c r="M39" s="47" t="s">
        <v>14</v>
      </c>
      <c r="N39" s="47" t="s">
        <v>101</v>
      </c>
      <c r="O39" s="70">
        <v>46230</v>
      </c>
      <c r="P39" s="47"/>
      <c r="Q39" s="47"/>
      <c r="R39" s="47"/>
      <c r="S39" s="47" t="s">
        <v>175</v>
      </c>
      <c r="T39" s="70">
        <v>46230</v>
      </c>
      <c r="U39" s="47" t="s">
        <v>176</v>
      </c>
      <c r="V39" s="47" t="s">
        <v>177</v>
      </c>
      <c r="W39" s="47" t="s">
        <v>178</v>
      </c>
    </row>
    <row r="40" spans="1:23" ht="23.25" customHeight="1" x14ac:dyDescent="0.25">
      <c r="A40" s="47">
        <v>35</v>
      </c>
      <c r="B40" s="47" t="s">
        <v>171</v>
      </c>
      <c r="C40" s="47" t="s">
        <v>193</v>
      </c>
      <c r="D40" s="47" t="s">
        <v>209</v>
      </c>
      <c r="E40" s="47"/>
      <c r="F40" s="47" t="str">
        <f t="shared" si="0"/>
        <v>JOSEPHINE N. TANOLA</v>
      </c>
      <c r="G40" s="47" t="s">
        <v>197</v>
      </c>
      <c r="H40" s="70"/>
      <c r="I40" s="47" t="str">
        <f t="shared" ca="1" si="1"/>
        <v/>
      </c>
      <c r="J40" s="47" t="s">
        <v>12</v>
      </c>
      <c r="K40" s="47" t="s">
        <v>106</v>
      </c>
      <c r="L40" s="47" t="s">
        <v>107</v>
      </c>
      <c r="M40" s="47" t="s">
        <v>14</v>
      </c>
      <c r="N40" s="47" t="s">
        <v>101</v>
      </c>
      <c r="O40" s="70">
        <v>46230</v>
      </c>
      <c r="P40" s="47"/>
      <c r="Q40" s="47"/>
      <c r="R40" s="47"/>
      <c r="S40" s="47" t="s">
        <v>175</v>
      </c>
      <c r="T40" s="70">
        <v>46230</v>
      </c>
      <c r="U40" s="47" t="s">
        <v>176</v>
      </c>
      <c r="V40" s="47" t="s">
        <v>177</v>
      </c>
      <c r="W40" s="47" t="s">
        <v>178</v>
      </c>
    </row>
    <row r="41" spans="1:23" ht="23.25" customHeight="1" x14ac:dyDescent="0.25">
      <c r="A41" s="47">
        <v>36</v>
      </c>
      <c r="B41" s="47" t="s">
        <v>210</v>
      </c>
      <c r="C41" s="47" t="s">
        <v>211</v>
      </c>
      <c r="D41" s="47" t="s">
        <v>212</v>
      </c>
      <c r="E41" s="47"/>
      <c r="F41" s="47" t="str">
        <f t="shared" si="0"/>
        <v>PRINCE JEO C. BASCO</v>
      </c>
      <c r="G41" s="47" t="s">
        <v>174</v>
      </c>
      <c r="H41" s="70"/>
      <c r="I41" s="47" t="str">
        <f t="shared" ca="1" si="1"/>
        <v/>
      </c>
      <c r="J41" s="47" t="s">
        <v>23</v>
      </c>
      <c r="K41" s="47" t="s">
        <v>108</v>
      </c>
      <c r="L41" s="47" t="s">
        <v>109</v>
      </c>
      <c r="M41" s="47" t="s">
        <v>14</v>
      </c>
      <c r="N41" s="47" t="s">
        <v>101</v>
      </c>
      <c r="O41" s="70">
        <v>46230</v>
      </c>
      <c r="P41" s="47"/>
      <c r="Q41" s="47"/>
      <c r="R41" s="47"/>
      <c r="S41" s="47" t="s">
        <v>175</v>
      </c>
      <c r="T41" s="70">
        <v>46230</v>
      </c>
      <c r="U41" s="47" t="s">
        <v>213</v>
      </c>
      <c r="V41" s="47" t="s">
        <v>177</v>
      </c>
      <c r="W41" s="47" t="s">
        <v>178</v>
      </c>
    </row>
    <row r="42" spans="1:23" ht="23.25" customHeight="1" x14ac:dyDescent="0.25">
      <c r="A42" s="47">
        <v>37</v>
      </c>
      <c r="B42" s="47" t="s">
        <v>210</v>
      </c>
      <c r="C42" s="47" t="s">
        <v>214</v>
      </c>
      <c r="D42" s="47" t="s">
        <v>215</v>
      </c>
      <c r="E42" s="47"/>
      <c r="F42" s="47" t="str">
        <f t="shared" si="0"/>
        <v>JOHN KIVEN D. CAMAYLONGAN</v>
      </c>
      <c r="G42" s="47" t="s">
        <v>174</v>
      </c>
      <c r="H42" s="70"/>
      <c r="I42" s="47" t="str">
        <f t="shared" ca="1" si="1"/>
        <v/>
      </c>
      <c r="J42" s="47" t="s">
        <v>23</v>
      </c>
      <c r="K42" s="47" t="s">
        <v>108</v>
      </c>
      <c r="L42" s="47" t="s">
        <v>109</v>
      </c>
      <c r="M42" s="47" t="s">
        <v>14</v>
      </c>
      <c r="N42" s="47" t="s">
        <v>101</v>
      </c>
      <c r="O42" s="70">
        <v>46230</v>
      </c>
      <c r="P42" s="47"/>
      <c r="Q42" s="47"/>
      <c r="R42" s="47"/>
      <c r="S42" s="47" t="s">
        <v>175</v>
      </c>
      <c r="T42" s="70">
        <v>46230</v>
      </c>
      <c r="U42" s="47" t="s">
        <v>213</v>
      </c>
      <c r="V42" s="47" t="s">
        <v>177</v>
      </c>
      <c r="W42" s="47" t="s">
        <v>178</v>
      </c>
    </row>
    <row r="43" spans="1:23" ht="23.25" customHeight="1" x14ac:dyDescent="0.25">
      <c r="A43" s="47">
        <v>38</v>
      </c>
      <c r="B43" s="47" t="s">
        <v>210</v>
      </c>
      <c r="C43" s="47" t="s">
        <v>214</v>
      </c>
      <c r="D43" s="47" t="s">
        <v>216</v>
      </c>
      <c r="E43" s="47"/>
      <c r="F43" s="47" t="str">
        <f t="shared" si="0"/>
        <v>REYNALDO JR. V. CAMAYLONGAN</v>
      </c>
      <c r="G43" s="47" t="s">
        <v>174</v>
      </c>
      <c r="H43" s="70"/>
      <c r="I43" s="47" t="str">
        <f t="shared" ca="1" si="1"/>
        <v/>
      </c>
      <c r="J43" s="47" t="s">
        <v>23</v>
      </c>
      <c r="K43" s="47" t="s">
        <v>108</v>
      </c>
      <c r="L43" s="47" t="s">
        <v>109</v>
      </c>
      <c r="M43" s="47" t="s">
        <v>14</v>
      </c>
      <c r="N43" s="47" t="s">
        <v>101</v>
      </c>
      <c r="O43" s="70">
        <v>46230</v>
      </c>
      <c r="P43" s="47"/>
      <c r="Q43" s="47"/>
      <c r="R43" s="47"/>
      <c r="S43" s="47" t="s">
        <v>175</v>
      </c>
      <c r="T43" s="70">
        <v>46230</v>
      </c>
      <c r="U43" s="47" t="s">
        <v>213</v>
      </c>
      <c r="V43" s="47" t="s">
        <v>177</v>
      </c>
      <c r="W43" s="47" t="s">
        <v>178</v>
      </c>
    </row>
    <row r="44" spans="1:23" ht="23.25" customHeight="1" x14ac:dyDescent="0.25">
      <c r="A44" s="47">
        <v>39</v>
      </c>
      <c r="B44" s="47" t="s">
        <v>210</v>
      </c>
      <c r="C44" s="47" t="s">
        <v>217</v>
      </c>
      <c r="D44" s="47" t="s">
        <v>218</v>
      </c>
      <c r="E44" s="47"/>
      <c r="F44" s="47" t="str">
        <f t="shared" si="0"/>
        <v>TYLER MIKE M. CUPO</v>
      </c>
      <c r="G44" s="47" t="s">
        <v>174</v>
      </c>
      <c r="H44" s="70"/>
      <c r="I44" s="47" t="str">
        <f t="shared" ca="1" si="1"/>
        <v/>
      </c>
      <c r="J44" s="47" t="s">
        <v>23</v>
      </c>
      <c r="K44" s="47" t="s">
        <v>108</v>
      </c>
      <c r="L44" s="47" t="s">
        <v>109</v>
      </c>
      <c r="M44" s="47" t="s">
        <v>14</v>
      </c>
      <c r="N44" s="47" t="s">
        <v>101</v>
      </c>
      <c r="O44" s="70">
        <v>46230</v>
      </c>
      <c r="P44" s="47"/>
      <c r="Q44" s="47"/>
      <c r="R44" s="47"/>
      <c r="S44" s="47" t="s">
        <v>175</v>
      </c>
      <c r="T44" s="70">
        <v>46230</v>
      </c>
      <c r="U44" s="47" t="s">
        <v>213</v>
      </c>
      <c r="V44" s="47" t="s">
        <v>177</v>
      </c>
      <c r="W44" s="47" t="s">
        <v>178</v>
      </c>
    </row>
    <row r="45" spans="1:23" ht="23.25" customHeight="1" x14ac:dyDescent="0.25">
      <c r="A45" s="47">
        <v>40</v>
      </c>
      <c r="B45" s="47" t="s">
        <v>210</v>
      </c>
      <c r="C45" s="47" t="s">
        <v>187</v>
      </c>
      <c r="D45" s="47" t="s">
        <v>219</v>
      </c>
      <c r="E45" s="47"/>
      <c r="F45" s="47" t="str">
        <f t="shared" si="0"/>
        <v>JV D. LOGRONIO</v>
      </c>
      <c r="G45" s="47" t="s">
        <v>174</v>
      </c>
      <c r="H45" s="70"/>
      <c r="I45" s="47" t="str">
        <f t="shared" ca="1" si="1"/>
        <v/>
      </c>
      <c r="J45" s="47" t="s">
        <v>23</v>
      </c>
      <c r="K45" s="47" t="s">
        <v>108</v>
      </c>
      <c r="L45" s="47" t="s">
        <v>109</v>
      </c>
      <c r="M45" s="47" t="s">
        <v>14</v>
      </c>
      <c r="N45" s="47" t="s">
        <v>101</v>
      </c>
      <c r="O45" s="70">
        <v>46230</v>
      </c>
      <c r="P45" s="47"/>
      <c r="Q45" s="47"/>
      <c r="R45" s="47"/>
      <c r="S45" s="47" t="s">
        <v>175</v>
      </c>
      <c r="T45" s="70">
        <v>46230</v>
      </c>
      <c r="U45" s="47" t="s">
        <v>213</v>
      </c>
      <c r="V45" s="47" t="s">
        <v>177</v>
      </c>
      <c r="W45" s="47" t="s">
        <v>178</v>
      </c>
    </row>
    <row r="46" spans="1:23" ht="23.25" customHeight="1" x14ac:dyDescent="0.25">
      <c r="A46" s="47">
        <v>41</v>
      </c>
      <c r="B46" s="47" t="s">
        <v>210</v>
      </c>
      <c r="C46" s="47" t="s">
        <v>220</v>
      </c>
      <c r="D46" s="47" t="s">
        <v>221</v>
      </c>
      <c r="E46" s="47"/>
      <c r="F46" s="47" t="str">
        <f t="shared" si="0"/>
        <v>JAYMARK R. MONTILLA</v>
      </c>
      <c r="G46" s="47" t="s">
        <v>174</v>
      </c>
      <c r="H46" s="70"/>
      <c r="I46" s="47" t="str">
        <f t="shared" ca="1" si="1"/>
        <v/>
      </c>
      <c r="J46" s="47" t="s">
        <v>23</v>
      </c>
      <c r="K46" s="47" t="s">
        <v>108</v>
      </c>
      <c r="L46" s="47" t="s">
        <v>109</v>
      </c>
      <c r="M46" s="47" t="s">
        <v>14</v>
      </c>
      <c r="N46" s="47" t="s">
        <v>101</v>
      </c>
      <c r="O46" s="70">
        <v>46230</v>
      </c>
      <c r="P46" s="47"/>
      <c r="Q46" s="47"/>
      <c r="R46" s="47"/>
      <c r="S46" s="47" t="s">
        <v>175</v>
      </c>
      <c r="T46" s="70">
        <v>46230</v>
      </c>
      <c r="U46" s="47" t="s">
        <v>213</v>
      </c>
      <c r="V46" s="47" t="s">
        <v>177</v>
      </c>
      <c r="W46" s="47" t="s">
        <v>178</v>
      </c>
    </row>
    <row r="47" spans="1:23" ht="23.25" customHeight="1" x14ac:dyDescent="0.25">
      <c r="A47" s="47">
        <v>42</v>
      </c>
      <c r="B47" s="47" t="s">
        <v>210</v>
      </c>
      <c r="C47" s="47" t="s">
        <v>191</v>
      </c>
      <c r="D47" s="47" t="s">
        <v>222</v>
      </c>
      <c r="E47" s="47"/>
      <c r="F47" s="47" t="str">
        <f t="shared" si="0"/>
        <v>MARK JEL P. TAÑOLA</v>
      </c>
      <c r="G47" s="47" t="s">
        <v>174</v>
      </c>
      <c r="H47" s="70"/>
      <c r="I47" s="47" t="str">
        <f t="shared" ca="1" si="1"/>
        <v/>
      </c>
      <c r="J47" s="47" t="s">
        <v>23</v>
      </c>
      <c r="K47" s="47" t="s">
        <v>108</v>
      </c>
      <c r="L47" s="47" t="s">
        <v>109</v>
      </c>
      <c r="M47" s="47" t="s">
        <v>14</v>
      </c>
      <c r="N47" s="47" t="s">
        <v>101</v>
      </c>
      <c r="O47" s="70">
        <v>46230</v>
      </c>
      <c r="P47" s="47"/>
      <c r="Q47" s="47"/>
      <c r="R47" s="47"/>
      <c r="S47" s="47" t="s">
        <v>175</v>
      </c>
      <c r="T47" s="70">
        <v>46230</v>
      </c>
      <c r="U47" s="47" t="s">
        <v>213</v>
      </c>
      <c r="V47" s="47" t="s">
        <v>177</v>
      </c>
      <c r="W47" s="47" t="s">
        <v>178</v>
      </c>
    </row>
    <row r="48" spans="1:23" ht="23.25" customHeight="1" x14ac:dyDescent="0.25">
      <c r="A48" s="47">
        <v>43</v>
      </c>
      <c r="B48" s="47" t="s">
        <v>210</v>
      </c>
      <c r="C48" s="47" t="s">
        <v>223</v>
      </c>
      <c r="D48" s="47" t="s">
        <v>224</v>
      </c>
      <c r="E48" s="47"/>
      <c r="F48" s="47" t="str">
        <f t="shared" si="0"/>
        <v>GEMAR JR. O. VISCAYNO</v>
      </c>
      <c r="G48" s="47" t="s">
        <v>174</v>
      </c>
      <c r="H48" s="70"/>
      <c r="I48" s="47" t="str">
        <f t="shared" ca="1" si="1"/>
        <v/>
      </c>
      <c r="J48" s="47" t="s">
        <v>23</v>
      </c>
      <c r="K48" s="47" t="s">
        <v>108</v>
      </c>
      <c r="L48" s="47" t="s">
        <v>109</v>
      </c>
      <c r="M48" s="47" t="s">
        <v>14</v>
      </c>
      <c r="N48" s="47" t="s">
        <v>101</v>
      </c>
      <c r="O48" s="70">
        <v>46230</v>
      </c>
      <c r="P48" s="47"/>
      <c r="Q48" s="47"/>
      <c r="R48" s="47"/>
      <c r="S48" s="47" t="s">
        <v>175</v>
      </c>
      <c r="T48" s="70">
        <v>46230</v>
      </c>
      <c r="U48" s="47" t="s">
        <v>213</v>
      </c>
      <c r="V48" s="47" t="s">
        <v>177</v>
      </c>
      <c r="W48" s="47" t="s">
        <v>178</v>
      </c>
    </row>
    <row r="49" spans="1:23" ht="23.25" customHeight="1" x14ac:dyDescent="0.25">
      <c r="A49" s="47">
        <v>44</v>
      </c>
      <c r="B49" s="47" t="s">
        <v>210</v>
      </c>
      <c r="C49" s="47" t="s">
        <v>223</v>
      </c>
      <c r="D49" s="47" t="s">
        <v>225</v>
      </c>
      <c r="E49" s="47"/>
      <c r="F49" s="47" t="str">
        <f t="shared" si="0"/>
        <v>LEAM JHON R. VISCAYNO</v>
      </c>
      <c r="G49" s="47" t="s">
        <v>174</v>
      </c>
      <c r="H49" s="70"/>
      <c r="I49" s="47" t="str">
        <f t="shared" ca="1" si="1"/>
        <v/>
      </c>
      <c r="J49" s="47" t="s">
        <v>23</v>
      </c>
      <c r="K49" s="47" t="s">
        <v>108</v>
      </c>
      <c r="L49" s="47" t="s">
        <v>109</v>
      </c>
      <c r="M49" s="47" t="s">
        <v>14</v>
      </c>
      <c r="N49" s="47" t="s">
        <v>101</v>
      </c>
      <c r="O49" s="70">
        <v>46230</v>
      </c>
      <c r="P49" s="47"/>
      <c r="Q49" s="47"/>
      <c r="R49" s="47"/>
      <c r="S49" s="47" t="s">
        <v>175</v>
      </c>
      <c r="T49" s="70">
        <v>46230</v>
      </c>
      <c r="U49" s="47" t="s">
        <v>213</v>
      </c>
      <c r="V49" s="47" t="s">
        <v>177</v>
      </c>
      <c r="W49" s="47" t="s">
        <v>178</v>
      </c>
    </row>
    <row r="50" spans="1:23" ht="23.25" customHeight="1" x14ac:dyDescent="0.25">
      <c r="A50" s="47">
        <v>45</v>
      </c>
      <c r="B50" s="47" t="s">
        <v>210</v>
      </c>
      <c r="C50" s="47" t="s">
        <v>184</v>
      </c>
      <c r="D50" s="47" t="s">
        <v>226</v>
      </c>
      <c r="E50" s="47"/>
      <c r="F50" s="47" t="str">
        <f t="shared" si="0"/>
        <v>ALYANA C. LANANG</v>
      </c>
      <c r="G50" s="47" t="s">
        <v>197</v>
      </c>
      <c r="H50" s="70"/>
      <c r="I50" s="47" t="str">
        <f t="shared" ca="1" si="1"/>
        <v/>
      </c>
      <c r="J50" s="47" t="s">
        <v>23</v>
      </c>
      <c r="K50" s="47" t="s">
        <v>108</v>
      </c>
      <c r="L50" s="47" t="s">
        <v>109</v>
      </c>
      <c r="M50" s="47" t="s">
        <v>14</v>
      </c>
      <c r="N50" s="47" t="s">
        <v>101</v>
      </c>
      <c r="O50" s="70">
        <v>46230</v>
      </c>
      <c r="P50" s="47"/>
      <c r="Q50" s="47"/>
      <c r="R50" s="47"/>
      <c r="S50" s="47" t="s">
        <v>175</v>
      </c>
      <c r="T50" s="70">
        <v>46230</v>
      </c>
      <c r="U50" s="47" t="s">
        <v>213</v>
      </c>
      <c r="V50" s="47" t="s">
        <v>177</v>
      </c>
      <c r="W50" s="47" t="s">
        <v>178</v>
      </c>
    </row>
    <row r="51" spans="1:23" ht="23.25" customHeight="1" x14ac:dyDescent="0.25">
      <c r="A51" s="47">
        <v>46</v>
      </c>
      <c r="B51" s="47" t="s">
        <v>210</v>
      </c>
      <c r="C51" s="47" t="s">
        <v>184</v>
      </c>
      <c r="D51" s="47" t="s">
        <v>227</v>
      </c>
      <c r="E51" s="47"/>
      <c r="F51" s="47" t="str">
        <f t="shared" si="0"/>
        <v>ARHIAN B. LANANG</v>
      </c>
      <c r="G51" s="47" t="s">
        <v>197</v>
      </c>
      <c r="H51" s="70"/>
      <c r="I51" s="47" t="str">
        <f t="shared" ca="1" si="1"/>
        <v/>
      </c>
      <c r="J51" s="47" t="s">
        <v>23</v>
      </c>
      <c r="K51" s="47" t="s">
        <v>108</v>
      </c>
      <c r="L51" s="47" t="s">
        <v>109</v>
      </c>
      <c r="M51" s="47" t="s">
        <v>14</v>
      </c>
      <c r="N51" s="47" t="s">
        <v>101</v>
      </c>
      <c r="O51" s="70">
        <v>46230</v>
      </c>
      <c r="P51" s="47"/>
      <c r="Q51" s="47"/>
      <c r="R51" s="47"/>
      <c r="S51" s="47" t="s">
        <v>175</v>
      </c>
      <c r="T51" s="70">
        <v>46230</v>
      </c>
      <c r="U51" s="47" t="s">
        <v>213</v>
      </c>
      <c r="V51" s="47" t="s">
        <v>177</v>
      </c>
      <c r="W51" s="47" t="s">
        <v>178</v>
      </c>
    </row>
    <row r="52" spans="1:23" ht="23.25" customHeight="1" x14ac:dyDescent="0.25">
      <c r="A52" s="47">
        <v>47</v>
      </c>
      <c r="B52" s="47" t="s">
        <v>210</v>
      </c>
      <c r="C52" s="47" t="s">
        <v>228</v>
      </c>
      <c r="D52" s="47" t="s">
        <v>229</v>
      </c>
      <c r="E52" s="47"/>
      <c r="F52" s="47" t="str">
        <f t="shared" si="0"/>
        <v>MIRALYN JOY T. LOZADA</v>
      </c>
      <c r="G52" s="47" t="s">
        <v>197</v>
      </c>
      <c r="H52" s="70"/>
      <c r="I52" s="47" t="str">
        <f t="shared" ca="1" si="1"/>
        <v/>
      </c>
      <c r="J52" s="47" t="s">
        <v>23</v>
      </c>
      <c r="K52" s="47" t="s">
        <v>108</v>
      </c>
      <c r="L52" s="47" t="s">
        <v>109</v>
      </c>
      <c r="M52" s="47" t="s">
        <v>14</v>
      </c>
      <c r="N52" s="47" t="s">
        <v>101</v>
      </c>
      <c r="O52" s="70">
        <v>46230</v>
      </c>
      <c r="P52" s="47"/>
      <c r="Q52" s="47"/>
      <c r="R52" s="47"/>
      <c r="S52" s="47" t="s">
        <v>175</v>
      </c>
      <c r="T52" s="70">
        <v>46230</v>
      </c>
      <c r="U52" s="47" t="s">
        <v>213</v>
      </c>
      <c r="V52" s="47" t="s">
        <v>177</v>
      </c>
      <c r="W52" s="47" t="s">
        <v>178</v>
      </c>
    </row>
    <row r="53" spans="1:23" ht="23.25" customHeight="1" x14ac:dyDescent="0.25">
      <c r="A53" s="47">
        <v>48</v>
      </c>
      <c r="B53" s="47" t="s">
        <v>210</v>
      </c>
      <c r="C53" s="47" t="s">
        <v>230</v>
      </c>
      <c r="D53" s="47" t="s">
        <v>231</v>
      </c>
      <c r="E53" s="47"/>
      <c r="F53" s="47" t="str">
        <f t="shared" si="0"/>
        <v>CRISSA MAE I. RAMIS</v>
      </c>
      <c r="G53" s="47" t="s">
        <v>197</v>
      </c>
      <c r="H53" s="70"/>
      <c r="I53" s="47" t="str">
        <f t="shared" ca="1" si="1"/>
        <v/>
      </c>
      <c r="J53" s="47" t="s">
        <v>23</v>
      </c>
      <c r="K53" s="47" t="s">
        <v>108</v>
      </c>
      <c r="L53" s="47" t="s">
        <v>109</v>
      </c>
      <c r="M53" s="47" t="s">
        <v>14</v>
      </c>
      <c r="N53" s="47" t="s">
        <v>101</v>
      </c>
      <c r="O53" s="70">
        <v>46230</v>
      </c>
      <c r="P53" s="47"/>
      <c r="Q53" s="47"/>
      <c r="R53" s="47"/>
      <c r="S53" s="47" t="s">
        <v>175</v>
      </c>
      <c r="T53" s="70">
        <v>46230</v>
      </c>
      <c r="U53" s="47" t="s">
        <v>213</v>
      </c>
      <c r="V53" s="47" t="s">
        <v>177</v>
      </c>
      <c r="W53" s="47" t="s">
        <v>178</v>
      </c>
    </row>
    <row r="54" spans="1:23" ht="23.25" customHeight="1" x14ac:dyDescent="0.25">
      <c r="A54" s="47">
        <v>49</v>
      </c>
      <c r="B54" s="47" t="s">
        <v>210</v>
      </c>
      <c r="C54" s="47" t="s">
        <v>232</v>
      </c>
      <c r="D54" s="47" t="s">
        <v>233</v>
      </c>
      <c r="E54" s="47"/>
      <c r="F54" s="47" t="str">
        <f t="shared" si="0"/>
        <v>BLESSY XYREE D. SABADO</v>
      </c>
      <c r="G54" s="47" t="s">
        <v>197</v>
      </c>
      <c r="H54" s="70"/>
      <c r="I54" s="47" t="str">
        <f t="shared" ca="1" si="1"/>
        <v/>
      </c>
      <c r="J54" s="47" t="s">
        <v>23</v>
      </c>
      <c r="K54" s="47" t="s">
        <v>108</v>
      </c>
      <c r="L54" s="47" t="s">
        <v>109</v>
      </c>
      <c r="M54" s="47" t="s">
        <v>14</v>
      </c>
      <c r="N54" s="47" t="s">
        <v>101</v>
      </c>
      <c r="O54" s="70">
        <v>46230</v>
      </c>
      <c r="P54" s="47"/>
      <c r="Q54" s="47"/>
      <c r="R54" s="47"/>
      <c r="S54" s="47" t="s">
        <v>175</v>
      </c>
      <c r="T54" s="70">
        <v>46230</v>
      </c>
      <c r="U54" s="47" t="s">
        <v>213</v>
      </c>
      <c r="V54" s="47" t="s">
        <v>177</v>
      </c>
      <c r="W54" s="47" t="s">
        <v>178</v>
      </c>
    </row>
    <row r="55" spans="1:23" ht="23.25" customHeight="1" x14ac:dyDescent="0.25">
      <c r="A55" s="47">
        <v>50</v>
      </c>
      <c r="B55" s="47" t="s">
        <v>210</v>
      </c>
      <c r="C55" s="47" t="s">
        <v>234</v>
      </c>
      <c r="D55" s="47" t="s">
        <v>235</v>
      </c>
      <c r="E55" s="47"/>
      <c r="F55" s="47" t="str">
        <f t="shared" si="0"/>
        <v>PRINCESS SOFIA B. TOBIANO</v>
      </c>
      <c r="G55" s="47" t="s">
        <v>197</v>
      </c>
      <c r="H55" s="70"/>
      <c r="I55" s="47" t="str">
        <f t="shared" ca="1" si="1"/>
        <v/>
      </c>
      <c r="J55" s="47" t="s">
        <v>23</v>
      </c>
      <c r="K55" s="47" t="s">
        <v>108</v>
      </c>
      <c r="L55" s="47" t="s">
        <v>109</v>
      </c>
      <c r="M55" s="47" t="s">
        <v>14</v>
      </c>
      <c r="N55" s="47" t="s">
        <v>101</v>
      </c>
      <c r="O55" s="70">
        <v>46230</v>
      </c>
      <c r="P55" s="47"/>
      <c r="Q55" s="47"/>
      <c r="R55" s="47"/>
      <c r="S55" s="47" t="s">
        <v>175</v>
      </c>
      <c r="T55" s="70">
        <v>46230</v>
      </c>
      <c r="U55" s="47" t="s">
        <v>213</v>
      </c>
      <c r="V55" s="47" t="s">
        <v>177</v>
      </c>
      <c r="W55" s="47" t="s">
        <v>178</v>
      </c>
    </row>
    <row r="56" spans="1:23" ht="23.25" customHeight="1" x14ac:dyDescent="0.25">
      <c r="A56" s="47">
        <v>51</v>
      </c>
      <c r="B56" s="47" t="s">
        <v>236</v>
      </c>
      <c r="C56" s="47" t="s">
        <v>237</v>
      </c>
      <c r="D56" s="47" t="s">
        <v>140</v>
      </c>
      <c r="E56" s="47"/>
      <c r="F56" s="47" t="str">
        <f t="shared" si="0"/>
        <v>Sample Learner051</v>
      </c>
      <c r="G56" s="47"/>
      <c r="H56" s="70"/>
      <c r="I56" s="47" t="str">
        <f t="shared" ca="1" si="1"/>
        <v/>
      </c>
      <c r="J56" s="47" t="s">
        <v>23</v>
      </c>
      <c r="K56" s="47" t="s">
        <v>108</v>
      </c>
      <c r="L56" s="47" t="s">
        <v>109</v>
      </c>
      <c r="M56" s="47" t="s">
        <v>14</v>
      </c>
      <c r="N56" s="47" t="s">
        <v>101</v>
      </c>
      <c r="O56" s="70">
        <v>46230</v>
      </c>
      <c r="P56" s="47"/>
      <c r="Q56" s="47"/>
      <c r="R56" s="47"/>
      <c r="S56" s="47" t="s">
        <v>238</v>
      </c>
      <c r="T56" s="70">
        <v>46230</v>
      </c>
      <c r="U56" s="47" t="s">
        <v>239</v>
      </c>
      <c r="V56" s="47"/>
      <c r="W56" s="47" t="s">
        <v>240</v>
      </c>
    </row>
    <row r="57" spans="1:23" ht="23.25" customHeight="1" x14ac:dyDescent="0.25">
      <c r="A57" s="47">
        <v>52</v>
      </c>
      <c r="B57" s="47" t="s">
        <v>241</v>
      </c>
      <c r="C57" s="47" t="s">
        <v>242</v>
      </c>
      <c r="D57" s="47" t="s">
        <v>140</v>
      </c>
      <c r="E57" s="47"/>
      <c r="F57" s="47" t="str">
        <f t="shared" si="0"/>
        <v>Sample Learner052</v>
      </c>
      <c r="G57" s="47"/>
      <c r="H57" s="70"/>
      <c r="I57" s="47" t="str">
        <f t="shared" ca="1" si="1"/>
        <v/>
      </c>
      <c r="J57" s="47" t="s">
        <v>23</v>
      </c>
      <c r="K57" s="47" t="s">
        <v>108</v>
      </c>
      <c r="L57" s="47" t="s">
        <v>109</v>
      </c>
      <c r="M57" s="47" t="s">
        <v>14</v>
      </c>
      <c r="N57" s="47" t="s">
        <v>101</v>
      </c>
      <c r="O57" s="70">
        <v>46230</v>
      </c>
      <c r="P57" s="47"/>
      <c r="Q57" s="47"/>
      <c r="R57" s="47"/>
      <c r="S57" s="47" t="s">
        <v>238</v>
      </c>
      <c r="T57" s="70">
        <v>46230</v>
      </c>
      <c r="U57" s="47" t="s">
        <v>239</v>
      </c>
      <c r="V57" s="47"/>
      <c r="W57" s="47" t="s">
        <v>240</v>
      </c>
    </row>
    <row r="58" spans="1:23" ht="23.25" customHeight="1" x14ac:dyDescent="0.25">
      <c r="A58" s="47">
        <v>53</v>
      </c>
      <c r="B58" s="47" t="s">
        <v>243</v>
      </c>
      <c r="C58" s="47" t="s">
        <v>244</v>
      </c>
      <c r="D58" s="47" t="s">
        <v>140</v>
      </c>
      <c r="E58" s="47"/>
      <c r="F58" s="47" t="str">
        <f t="shared" si="0"/>
        <v>Sample Learner053</v>
      </c>
      <c r="G58" s="47"/>
      <c r="H58" s="70"/>
      <c r="I58" s="47" t="str">
        <f t="shared" ca="1" si="1"/>
        <v/>
      </c>
      <c r="J58" s="47" t="s">
        <v>23</v>
      </c>
      <c r="K58" s="47" t="s">
        <v>108</v>
      </c>
      <c r="L58" s="47" t="s">
        <v>109</v>
      </c>
      <c r="M58" s="47" t="s">
        <v>14</v>
      </c>
      <c r="N58" s="47" t="s">
        <v>101</v>
      </c>
      <c r="O58" s="70">
        <v>46230</v>
      </c>
      <c r="P58" s="47"/>
      <c r="Q58" s="47"/>
      <c r="R58" s="47"/>
      <c r="S58" s="47" t="s">
        <v>238</v>
      </c>
      <c r="T58" s="70">
        <v>46230</v>
      </c>
      <c r="U58" s="47" t="s">
        <v>239</v>
      </c>
      <c r="V58" s="47"/>
      <c r="W58" s="47" t="s">
        <v>240</v>
      </c>
    </row>
    <row r="59" spans="1:23" ht="23.25" customHeight="1" x14ac:dyDescent="0.25">
      <c r="A59" s="47">
        <v>54</v>
      </c>
      <c r="B59" s="47" t="s">
        <v>245</v>
      </c>
      <c r="C59" s="47" t="s">
        <v>246</v>
      </c>
      <c r="D59" s="47" t="s">
        <v>140</v>
      </c>
      <c r="E59" s="47"/>
      <c r="F59" s="47" t="str">
        <f t="shared" si="0"/>
        <v>Sample Learner054</v>
      </c>
      <c r="G59" s="47"/>
      <c r="H59" s="70"/>
      <c r="I59" s="47" t="str">
        <f t="shared" ca="1" si="1"/>
        <v/>
      </c>
      <c r="J59" s="47" t="s">
        <v>23</v>
      </c>
      <c r="K59" s="47" t="s">
        <v>108</v>
      </c>
      <c r="L59" s="47" t="s">
        <v>109</v>
      </c>
      <c r="M59" s="47" t="s">
        <v>14</v>
      </c>
      <c r="N59" s="47" t="s">
        <v>101</v>
      </c>
      <c r="O59" s="70">
        <v>46230</v>
      </c>
      <c r="P59" s="47"/>
      <c r="Q59" s="47"/>
      <c r="R59" s="47"/>
      <c r="S59" s="47" t="s">
        <v>238</v>
      </c>
      <c r="T59" s="70">
        <v>46230</v>
      </c>
      <c r="U59" s="47" t="s">
        <v>239</v>
      </c>
      <c r="V59" s="47"/>
      <c r="W59" s="47" t="s">
        <v>240</v>
      </c>
    </row>
    <row r="60" spans="1:23" ht="23.25" customHeight="1" x14ac:dyDescent="0.25">
      <c r="A60" s="47">
        <v>55</v>
      </c>
      <c r="B60" s="47" t="s">
        <v>247</v>
      </c>
      <c r="C60" s="47" t="s">
        <v>248</v>
      </c>
      <c r="D60" s="47" t="s">
        <v>140</v>
      </c>
      <c r="E60" s="47"/>
      <c r="F60" s="47" t="str">
        <f t="shared" si="0"/>
        <v>Sample Learner055</v>
      </c>
      <c r="G60" s="47"/>
      <c r="H60" s="70"/>
      <c r="I60" s="47" t="str">
        <f t="shared" ca="1" si="1"/>
        <v/>
      </c>
      <c r="J60" s="47" t="s">
        <v>23</v>
      </c>
      <c r="K60" s="47" t="s">
        <v>108</v>
      </c>
      <c r="L60" s="47" t="s">
        <v>109</v>
      </c>
      <c r="M60" s="47" t="s">
        <v>14</v>
      </c>
      <c r="N60" s="47" t="s">
        <v>101</v>
      </c>
      <c r="O60" s="70">
        <v>46230</v>
      </c>
      <c r="P60" s="47"/>
      <c r="Q60" s="47"/>
      <c r="R60" s="47"/>
      <c r="S60" s="47" t="s">
        <v>238</v>
      </c>
      <c r="T60" s="70">
        <v>46230</v>
      </c>
      <c r="U60" s="47" t="s">
        <v>239</v>
      </c>
      <c r="V60" s="47"/>
      <c r="W60" s="47" t="s">
        <v>240</v>
      </c>
    </row>
    <row r="61" spans="1:23" ht="23.25" customHeight="1" x14ac:dyDescent="0.25">
      <c r="A61" s="47">
        <v>56</v>
      </c>
      <c r="B61" s="47" t="s">
        <v>249</v>
      </c>
      <c r="C61" s="47" t="s">
        <v>250</v>
      </c>
      <c r="D61" s="47" t="s">
        <v>140</v>
      </c>
      <c r="E61" s="47"/>
      <c r="F61" s="47" t="str">
        <f t="shared" si="0"/>
        <v>Sample Learner056</v>
      </c>
      <c r="G61" s="47"/>
      <c r="H61" s="70"/>
      <c r="I61" s="47" t="str">
        <f t="shared" ca="1" si="1"/>
        <v/>
      </c>
      <c r="J61" s="47" t="s">
        <v>26</v>
      </c>
      <c r="K61" s="47" t="s">
        <v>110</v>
      </c>
      <c r="L61" s="47" t="s">
        <v>111</v>
      </c>
      <c r="M61" s="47" t="s">
        <v>14</v>
      </c>
      <c r="N61" s="47" t="s">
        <v>101</v>
      </c>
      <c r="O61" s="70">
        <v>46230</v>
      </c>
      <c r="P61" s="47"/>
      <c r="Q61" s="47"/>
      <c r="R61" s="47"/>
      <c r="S61" s="47" t="s">
        <v>141</v>
      </c>
      <c r="T61" s="70">
        <v>46230</v>
      </c>
      <c r="U61" s="47" t="s">
        <v>142</v>
      </c>
      <c r="V61" s="47"/>
      <c r="W61" s="47" t="str">
        <f t="shared" ref="W61:W80" si="3">IF(B61="","Missing LRN",IF(OR(J61="",K61=""),"Missing Grade/Section","OK"))</f>
        <v>OK</v>
      </c>
    </row>
    <row r="62" spans="1:23" ht="23.25" customHeight="1" x14ac:dyDescent="0.25">
      <c r="A62" s="47">
        <v>57</v>
      </c>
      <c r="B62" s="47" t="s">
        <v>251</v>
      </c>
      <c r="C62" s="47" t="s">
        <v>252</v>
      </c>
      <c r="D62" s="47" t="s">
        <v>140</v>
      </c>
      <c r="E62" s="47"/>
      <c r="F62" s="47" t="str">
        <f t="shared" si="0"/>
        <v>Sample Learner057</v>
      </c>
      <c r="G62" s="47"/>
      <c r="H62" s="70"/>
      <c r="I62" s="47" t="str">
        <f t="shared" ca="1" si="1"/>
        <v/>
      </c>
      <c r="J62" s="47" t="s">
        <v>26</v>
      </c>
      <c r="K62" s="47" t="s">
        <v>110</v>
      </c>
      <c r="L62" s="47" t="s">
        <v>111</v>
      </c>
      <c r="M62" s="47" t="s">
        <v>14</v>
      </c>
      <c r="N62" s="47" t="s">
        <v>101</v>
      </c>
      <c r="O62" s="70">
        <v>46230</v>
      </c>
      <c r="P62" s="47"/>
      <c r="Q62" s="47"/>
      <c r="R62" s="47"/>
      <c r="S62" s="47" t="s">
        <v>141</v>
      </c>
      <c r="T62" s="70">
        <v>46230</v>
      </c>
      <c r="U62" s="47" t="s">
        <v>142</v>
      </c>
      <c r="V62" s="47"/>
      <c r="W62" s="47" t="str">
        <f t="shared" si="3"/>
        <v>OK</v>
      </c>
    </row>
    <row r="63" spans="1:23" ht="23.25" customHeight="1" x14ac:dyDescent="0.25">
      <c r="A63" s="47">
        <v>58</v>
      </c>
      <c r="B63" s="47" t="s">
        <v>253</v>
      </c>
      <c r="C63" s="47" t="s">
        <v>254</v>
      </c>
      <c r="D63" s="47" t="s">
        <v>140</v>
      </c>
      <c r="E63" s="47"/>
      <c r="F63" s="47" t="str">
        <f t="shared" si="0"/>
        <v>Sample Learner058</v>
      </c>
      <c r="G63" s="47"/>
      <c r="H63" s="70"/>
      <c r="I63" s="47" t="str">
        <f t="shared" ca="1" si="1"/>
        <v/>
      </c>
      <c r="J63" s="47" t="s">
        <v>26</v>
      </c>
      <c r="K63" s="47" t="s">
        <v>110</v>
      </c>
      <c r="L63" s="47" t="s">
        <v>111</v>
      </c>
      <c r="M63" s="47" t="s">
        <v>14</v>
      </c>
      <c r="N63" s="47" t="s">
        <v>101</v>
      </c>
      <c r="O63" s="70">
        <v>46230</v>
      </c>
      <c r="P63" s="47"/>
      <c r="Q63" s="47"/>
      <c r="R63" s="47"/>
      <c r="S63" s="47" t="s">
        <v>141</v>
      </c>
      <c r="T63" s="70">
        <v>46230</v>
      </c>
      <c r="U63" s="47" t="s">
        <v>142</v>
      </c>
      <c r="V63" s="47"/>
      <c r="W63" s="47" t="str">
        <f t="shared" si="3"/>
        <v>OK</v>
      </c>
    </row>
    <row r="64" spans="1:23" ht="23.25" customHeight="1" x14ac:dyDescent="0.25">
      <c r="A64" s="47">
        <v>59</v>
      </c>
      <c r="B64" s="47" t="s">
        <v>255</v>
      </c>
      <c r="C64" s="47" t="s">
        <v>256</v>
      </c>
      <c r="D64" s="47" t="s">
        <v>140</v>
      </c>
      <c r="E64" s="47"/>
      <c r="F64" s="47" t="str">
        <f t="shared" si="0"/>
        <v>Sample Learner059</v>
      </c>
      <c r="G64" s="47"/>
      <c r="H64" s="70"/>
      <c r="I64" s="47" t="str">
        <f t="shared" ca="1" si="1"/>
        <v/>
      </c>
      <c r="J64" s="47" t="s">
        <v>26</v>
      </c>
      <c r="K64" s="47" t="s">
        <v>110</v>
      </c>
      <c r="L64" s="47" t="s">
        <v>111</v>
      </c>
      <c r="M64" s="47" t="s">
        <v>14</v>
      </c>
      <c r="N64" s="47" t="s">
        <v>101</v>
      </c>
      <c r="O64" s="70">
        <v>46230</v>
      </c>
      <c r="P64" s="47"/>
      <c r="Q64" s="47"/>
      <c r="R64" s="47"/>
      <c r="S64" s="47" t="s">
        <v>141</v>
      </c>
      <c r="T64" s="70">
        <v>46230</v>
      </c>
      <c r="U64" s="47" t="s">
        <v>142</v>
      </c>
      <c r="V64" s="47"/>
      <c r="W64" s="47" t="str">
        <f t="shared" si="3"/>
        <v>OK</v>
      </c>
    </row>
    <row r="65" spans="1:23" ht="23.25" customHeight="1" x14ac:dyDescent="0.25">
      <c r="A65" s="47">
        <v>60</v>
      </c>
      <c r="B65" s="47" t="s">
        <v>257</v>
      </c>
      <c r="C65" s="47" t="s">
        <v>258</v>
      </c>
      <c r="D65" s="47" t="s">
        <v>140</v>
      </c>
      <c r="E65" s="47"/>
      <c r="F65" s="47" t="str">
        <f t="shared" si="0"/>
        <v>Sample Learner060</v>
      </c>
      <c r="G65" s="47"/>
      <c r="H65" s="70"/>
      <c r="I65" s="47" t="str">
        <f t="shared" ca="1" si="1"/>
        <v/>
      </c>
      <c r="J65" s="47" t="s">
        <v>26</v>
      </c>
      <c r="K65" s="47" t="s">
        <v>110</v>
      </c>
      <c r="L65" s="47" t="s">
        <v>111</v>
      </c>
      <c r="M65" s="47" t="s">
        <v>14</v>
      </c>
      <c r="N65" s="47" t="s">
        <v>101</v>
      </c>
      <c r="O65" s="70">
        <v>46230</v>
      </c>
      <c r="P65" s="47"/>
      <c r="Q65" s="47"/>
      <c r="R65" s="47"/>
      <c r="S65" s="47" t="s">
        <v>141</v>
      </c>
      <c r="T65" s="70">
        <v>46230</v>
      </c>
      <c r="U65" s="47" t="s">
        <v>142</v>
      </c>
      <c r="V65" s="47"/>
      <c r="W65" s="47" t="str">
        <f t="shared" si="3"/>
        <v>OK</v>
      </c>
    </row>
    <row r="66" spans="1:23" ht="23.25" customHeight="1" x14ac:dyDescent="0.25">
      <c r="A66" s="47">
        <v>61</v>
      </c>
      <c r="B66" s="47" t="s">
        <v>259</v>
      </c>
      <c r="C66" s="47" t="s">
        <v>260</v>
      </c>
      <c r="D66" s="47" t="s">
        <v>140</v>
      </c>
      <c r="E66" s="47"/>
      <c r="F66" s="47" t="str">
        <f t="shared" si="0"/>
        <v>Sample Learner061</v>
      </c>
      <c r="G66" s="47"/>
      <c r="H66" s="70"/>
      <c r="I66" s="47" t="str">
        <f t="shared" ca="1" si="1"/>
        <v/>
      </c>
      <c r="J66" s="47" t="s">
        <v>26</v>
      </c>
      <c r="K66" s="47" t="s">
        <v>110</v>
      </c>
      <c r="L66" s="47" t="s">
        <v>111</v>
      </c>
      <c r="M66" s="47" t="s">
        <v>14</v>
      </c>
      <c r="N66" s="47" t="s">
        <v>101</v>
      </c>
      <c r="O66" s="70">
        <v>46230</v>
      </c>
      <c r="P66" s="47"/>
      <c r="Q66" s="47"/>
      <c r="R66" s="47"/>
      <c r="S66" s="47" t="s">
        <v>141</v>
      </c>
      <c r="T66" s="70">
        <v>46230</v>
      </c>
      <c r="U66" s="47" t="s">
        <v>142</v>
      </c>
      <c r="V66" s="47"/>
      <c r="W66" s="47" t="str">
        <f t="shared" si="3"/>
        <v>OK</v>
      </c>
    </row>
    <row r="67" spans="1:23" ht="23.25" customHeight="1" x14ac:dyDescent="0.25">
      <c r="A67" s="47">
        <v>62</v>
      </c>
      <c r="B67" s="47" t="s">
        <v>261</v>
      </c>
      <c r="C67" s="47" t="s">
        <v>262</v>
      </c>
      <c r="D67" s="47" t="s">
        <v>140</v>
      </c>
      <c r="E67" s="47"/>
      <c r="F67" s="47" t="str">
        <f t="shared" si="0"/>
        <v>Sample Learner062</v>
      </c>
      <c r="G67" s="47"/>
      <c r="H67" s="70"/>
      <c r="I67" s="47" t="str">
        <f t="shared" ca="1" si="1"/>
        <v/>
      </c>
      <c r="J67" s="47" t="s">
        <v>26</v>
      </c>
      <c r="K67" s="47" t="s">
        <v>110</v>
      </c>
      <c r="L67" s="47" t="s">
        <v>111</v>
      </c>
      <c r="M67" s="47" t="s">
        <v>14</v>
      </c>
      <c r="N67" s="47" t="s">
        <v>101</v>
      </c>
      <c r="O67" s="70">
        <v>46230</v>
      </c>
      <c r="P67" s="47"/>
      <c r="Q67" s="47"/>
      <c r="R67" s="47"/>
      <c r="S67" s="47" t="s">
        <v>141</v>
      </c>
      <c r="T67" s="70">
        <v>46230</v>
      </c>
      <c r="U67" s="47" t="s">
        <v>142</v>
      </c>
      <c r="V67" s="47"/>
      <c r="W67" s="47" t="str">
        <f t="shared" si="3"/>
        <v>OK</v>
      </c>
    </row>
    <row r="68" spans="1:23" ht="23.25" customHeight="1" x14ac:dyDescent="0.25">
      <c r="A68" s="47">
        <v>63</v>
      </c>
      <c r="B68" s="47" t="s">
        <v>263</v>
      </c>
      <c r="C68" s="47" t="s">
        <v>264</v>
      </c>
      <c r="D68" s="47" t="s">
        <v>140</v>
      </c>
      <c r="E68" s="47"/>
      <c r="F68" s="47" t="str">
        <f t="shared" si="0"/>
        <v>Sample Learner063</v>
      </c>
      <c r="G68" s="47"/>
      <c r="H68" s="70"/>
      <c r="I68" s="47" t="str">
        <f t="shared" ca="1" si="1"/>
        <v/>
      </c>
      <c r="J68" s="47" t="s">
        <v>26</v>
      </c>
      <c r="K68" s="47" t="s">
        <v>110</v>
      </c>
      <c r="L68" s="47" t="s">
        <v>111</v>
      </c>
      <c r="M68" s="47" t="s">
        <v>14</v>
      </c>
      <c r="N68" s="47" t="s">
        <v>101</v>
      </c>
      <c r="O68" s="70">
        <v>46230</v>
      </c>
      <c r="P68" s="47"/>
      <c r="Q68" s="47"/>
      <c r="R68" s="47"/>
      <c r="S68" s="47" t="s">
        <v>141</v>
      </c>
      <c r="T68" s="70">
        <v>46230</v>
      </c>
      <c r="U68" s="47" t="s">
        <v>142</v>
      </c>
      <c r="V68" s="47"/>
      <c r="W68" s="47" t="str">
        <f t="shared" si="3"/>
        <v>OK</v>
      </c>
    </row>
    <row r="69" spans="1:23" ht="23.25" customHeight="1" x14ac:dyDescent="0.25">
      <c r="A69" s="47">
        <v>64</v>
      </c>
      <c r="B69" s="47" t="s">
        <v>265</v>
      </c>
      <c r="C69" s="47" t="s">
        <v>266</v>
      </c>
      <c r="D69" s="47" t="s">
        <v>140</v>
      </c>
      <c r="E69" s="47"/>
      <c r="F69" s="47" t="str">
        <f t="shared" si="0"/>
        <v>Sample Learner064</v>
      </c>
      <c r="G69" s="47"/>
      <c r="H69" s="70"/>
      <c r="I69" s="47" t="str">
        <f t="shared" ca="1" si="1"/>
        <v/>
      </c>
      <c r="J69" s="47" t="s">
        <v>26</v>
      </c>
      <c r="K69" s="47" t="s">
        <v>110</v>
      </c>
      <c r="L69" s="47" t="s">
        <v>111</v>
      </c>
      <c r="M69" s="47" t="s">
        <v>14</v>
      </c>
      <c r="N69" s="47" t="s">
        <v>101</v>
      </c>
      <c r="O69" s="70">
        <v>46230</v>
      </c>
      <c r="P69" s="47"/>
      <c r="Q69" s="47"/>
      <c r="R69" s="47"/>
      <c r="S69" s="47" t="s">
        <v>141</v>
      </c>
      <c r="T69" s="70">
        <v>46230</v>
      </c>
      <c r="U69" s="47" t="s">
        <v>142</v>
      </c>
      <c r="V69" s="47"/>
      <c r="W69" s="47" t="str">
        <f t="shared" si="3"/>
        <v>OK</v>
      </c>
    </row>
    <row r="70" spans="1:23" ht="23.25" customHeight="1" x14ac:dyDescent="0.25">
      <c r="A70" s="47">
        <v>65</v>
      </c>
      <c r="B70" s="47" t="s">
        <v>267</v>
      </c>
      <c r="C70" s="47" t="s">
        <v>268</v>
      </c>
      <c r="D70" s="47" t="s">
        <v>140</v>
      </c>
      <c r="E70" s="47"/>
      <c r="F70" s="47" t="str">
        <f t="shared" ref="F70:F133" si="4">TRIM(D70&amp;" "&amp;E70&amp;" "&amp;C70)</f>
        <v>Sample Learner065</v>
      </c>
      <c r="G70" s="47"/>
      <c r="H70" s="70"/>
      <c r="I70" s="47" t="str">
        <f t="shared" ref="I70:I133" ca="1" si="5">IF(H70="","",DATEDIF(H70,TODAY(),"Y"))</f>
        <v/>
      </c>
      <c r="J70" s="47" t="s">
        <v>26</v>
      </c>
      <c r="K70" s="47" t="s">
        <v>110</v>
      </c>
      <c r="L70" s="47" t="s">
        <v>111</v>
      </c>
      <c r="M70" s="47" t="s">
        <v>14</v>
      </c>
      <c r="N70" s="47" t="s">
        <v>101</v>
      </c>
      <c r="O70" s="70">
        <v>46230</v>
      </c>
      <c r="P70" s="47"/>
      <c r="Q70" s="47"/>
      <c r="R70" s="47"/>
      <c r="S70" s="47" t="s">
        <v>141</v>
      </c>
      <c r="T70" s="70">
        <v>46230</v>
      </c>
      <c r="U70" s="47" t="s">
        <v>142</v>
      </c>
      <c r="V70" s="47"/>
      <c r="W70" s="47" t="str">
        <f t="shared" si="3"/>
        <v>OK</v>
      </c>
    </row>
    <row r="71" spans="1:23" ht="23.25" customHeight="1" x14ac:dyDescent="0.25">
      <c r="A71" s="47">
        <v>66</v>
      </c>
      <c r="B71" s="47" t="s">
        <v>269</v>
      </c>
      <c r="C71" s="47" t="s">
        <v>270</v>
      </c>
      <c r="D71" s="47" t="s">
        <v>140</v>
      </c>
      <c r="E71" s="47"/>
      <c r="F71" s="47" t="str">
        <f t="shared" si="4"/>
        <v>Sample Learner066</v>
      </c>
      <c r="G71" s="47"/>
      <c r="H71" s="70"/>
      <c r="I71" s="47" t="str">
        <f t="shared" ca="1" si="5"/>
        <v/>
      </c>
      <c r="J71" s="47" t="s">
        <v>26</v>
      </c>
      <c r="K71" s="47" t="s">
        <v>110</v>
      </c>
      <c r="L71" s="47" t="s">
        <v>111</v>
      </c>
      <c r="M71" s="47" t="s">
        <v>14</v>
      </c>
      <c r="N71" s="47" t="s">
        <v>101</v>
      </c>
      <c r="O71" s="70">
        <v>46230</v>
      </c>
      <c r="P71" s="47"/>
      <c r="Q71" s="47"/>
      <c r="R71" s="47"/>
      <c r="S71" s="47" t="s">
        <v>141</v>
      </c>
      <c r="T71" s="70">
        <v>46230</v>
      </c>
      <c r="U71" s="47" t="s">
        <v>142</v>
      </c>
      <c r="V71" s="47"/>
      <c r="W71" s="47" t="str">
        <f t="shared" si="3"/>
        <v>OK</v>
      </c>
    </row>
    <row r="72" spans="1:23" ht="23.25" customHeight="1" x14ac:dyDescent="0.25">
      <c r="A72" s="47">
        <v>67</v>
      </c>
      <c r="B72" s="47" t="s">
        <v>271</v>
      </c>
      <c r="C72" s="47" t="s">
        <v>272</v>
      </c>
      <c r="D72" s="47" t="s">
        <v>140</v>
      </c>
      <c r="E72" s="47"/>
      <c r="F72" s="47" t="str">
        <f t="shared" si="4"/>
        <v>Sample Learner067</v>
      </c>
      <c r="G72" s="47"/>
      <c r="H72" s="70"/>
      <c r="I72" s="47" t="str">
        <f t="shared" ca="1" si="5"/>
        <v/>
      </c>
      <c r="J72" s="47" t="s">
        <v>26</v>
      </c>
      <c r="K72" s="47" t="s">
        <v>110</v>
      </c>
      <c r="L72" s="47" t="s">
        <v>111</v>
      </c>
      <c r="M72" s="47" t="s">
        <v>14</v>
      </c>
      <c r="N72" s="47" t="s">
        <v>101</v>
      </c>
      <c r="O72" s="70">
        <v>46230</v>
      </c>
      <c r="P72" s="47"/>
      <c r="Q72" s="47"/>
      <c r="R72" s="47"/>
      <c r="S72" s="47" t="s">
        <v>141</v>
      </c>
      <c r="T72" s="70">
        <v>46230</v>
      </c>
      <c r="U72" s="47" t="s">
        <v>142</v>
      </c>
      <c r="V72" s="47"/>
      <c r="W72" s="47" t="str">
        <f t="shared" si="3"/>
        <v>OK</v>
      </c>
    </row>
    <row r="73" spans="1:23" ht="23.25" customHeight="1" x14ac:dyDescent="0.25">
      <c r="A73" s="47">
        <v>68</v>
      </c>
      <c r="B73" s="47" t="s">
        <v>273</v>
      </c>
      <c r="C73" s="47" t="s">
        <v>274</v>
      </c>
      <c r="D73" s="47" t="s">
        <v>140</v>
      </c>
      <c r="E73" s="47"/>
      <c r="F73" s="47" t="str">
        <f t="shared" si="4"/>
        <v>Sample Learner068</v>
      </c>
      <c r="G73" s="47"/>
      <c r="H73" s="70"/>
      <c r="I73" s="47" t="str">
        <f t="shared" ca="1" si="5"/>
        <v/>
      </c>
      <c r="J73" s="47" t="s">
        <v>26</v>
      </c>
      <c r="K73" s="47" t="s">
        <v>110</v>
      </c>
      <c r="L73" s="47" t="s">
        <v>111</v>
      </c>
      <c r="M73" s="47" t="s">
        <v>14</v>
      </c>
      <c r="N73" s="47" t="s">
        <v>101</v>
      </c>
      <c r="O73" s="70">
        <v>46230</v>
      </c>
      <c r="P73" s="47"/>
      <c r="Q73" s="47"/>
      <c r="R73" s="47"/>
      <c r="S73" s="47" t="s">
        <v>141</v>
      </c>
      <c r="T73" s="70">
        <v>46230</v>
      </c>
      <c r="U73" s="47" t="s">
        <v>142</v>
      </c>
      <c r="V73" s="47"/>
      <c r="W73" s="47" t="str">
        <f t="shared" si="3"/>
        <v>OK</v>
      </c>
    </row>
    <row r="74" spans="1:23" ht="23.25" customHeight="1" x14ac:dyDescent="0.25">
      <c r="A74" s="47">
        <v>69</v>
      </c>
      <c r="B74" s="47" t="s">
        <v>275</v>
      </c>
      <c r="C74" s="47" t="s">
        <v>276</v>
      </c>
      <c r="D74" s="47" t="s">
        <v>140</v>
      </c>
      <c r="E74" s="47"/>
      <c r="F74" s="47" t="str">
        <f t="shared" si="4"/>
        <v>Sample Learner069</v>
      </c>
      <c r="G74" s="47"/>
      <c r="H74" s="70"/>
      <c r="I74" s="47" t="str">
        <f t="shared" ca="1" si="5"/>
        <v/>
      </c>
      <c r="J74" s="47" t="s">
        <v>26</v>
      </c>
      <c r="K74" s="47" t="s">
        <v>110</v>
      </c>
      <c r="L74" s="47" t="s">
        <v>111</v>
      </c>
      <c r="M74" s="47" t="s">
        <v>14</v>
      </c>
      <c r="N74" s="47" t="s">
        <v>101</v>
      </c>
      <c r="O74" s="70">
        <v>46230</v>
      </c>
      <c r="P74" s="47"/>
      <c r="Q74" s="47"/>
      <c r="R74" s="47"/>
      <c r="S74" s="47" t="s">
        <v>141</v>
      </c>
      <c r="T74" s="70">
        <v>46230</v>
      </c>
      <c r="U74" s="47" t="s">
        <v>142</v>
      </c>
      <c r="V74" s="47"/>
      <c r="W74" s="47" t="str">
        <f t="shared" si="3"/>
        <v>OK</v>
      </c>
    </row>
    <row r="75" spans="1:23" ht="23.25" customHeight="1" x14ac:dyDescent="0.25">
      <c r="A75" s="47">
        <v>70</v>
      </c>
      <c r="B75" s="47" t="s">
        <v>277</v>
      </c>
      <c r="C75" s="47" t="s">
        <v>278</v>
      </c>
      <c r="D75" s="47" t="s">
        <v>140</v>
      </c>
      <c r="E75" s="47"/>
      <c r="F75" s="47" t="str">
        <f t="shared" si="4"/>
        <v>Sample Learner070</v>
      </c>
      <c r="G75" s="47"/>
      <c r="H75" s="70"/>
      <c r="I75" s="47" t="str">
        <f t="shared" ca="1" si="5"/>
        <v/>
      </c>
      <c r="J75" s="47" t="s">
        <v>26</v>
      </c>
      <c r="K75" s="47" t="s">
        <v>110</v>
      </c>
      <c r="L75" s="47" t="s">
        <v>111</v>
      </c>
      <c r="M75" s="47" t="s">
        <v>14</v>
      </c>
      <c r="N75" s="47" t="s">
        <v>101</v>
      </c>
      <c r="O75" s="70">
        <v>46230</v>
      </c>
      <c r="P75" s="47"/>
      <c r="Q75" s="47"/>
      <c r="R75" s="47"/>
      <c r="S75" s="47" t="s">
        <v>141</v>
      </c>
      <c r="T75" s="70">
        <v>46230</v>
      </c>
      <c r="U75" s="47" t="s">
        <v>142</v>
      </c>
      <c r="V75" s="47"/>
      <c r="W75" s="47" t="str">
        <f t="shared" si="3"/>
        <v>OK</v>
      </c>
    </row>
    <row r="76" spans="1:23" ht="23.25" customHeight="1" x14ac:dyDescent="0.25">
      <c r="A76" s="47">
        <v>71</v>
      </c>
      <c r="B76" s="47" t="s">
        <v>279</v>
      </c>
      <c r="C76" s="47" t="s">
        <v>280</v>
      </c>
      <c r="D76" s="47" t="s">
        <v>140</v>
      </c>
      <c r="E76" s="47"/>
      <c r="F76" s="47" t="str">
        <f t="shared" si="4"/>
        <v>Sample Learner071</v>
      </c>
      <c r="G76" s="47"/>
      <c r="H76" s="70"/>
      <c r="I76" s="47" t="str">
        <f t="shared" ca="1" si="5"/>
        <v/>
      </c>
      <c r="J76" s="47" t="s">
        <v>26</v>
      </c>
      <c r="K76" s="47" t="s">
        <v>110</v>
      </c>
      <c r="L76" s="47" t="s">
        <v>111</v>
      </c>
      <c r="M76" s="47" t="s">
        <v>14</v>
      </c>
      <c r="N76" s="47" t="s">
        <v>101</v>
      </c>
      <c r="O76" s="70">
        <v>46230</v>
      </c>
      <c r="P76" s="47"/>
      <c r="Q76" s="47"/>
      <c r="R76" s="47"/>
      <c r="S76" s="47" t="s">
        <v>141</v>
      </c>
      <c r="T76" s="70">
        <v>46230</v>
      </c>
      <c r="U76" s="47" t="s">
        <v>142</v>
      </c>
      <c r="V76" s="47"/>
      <c r="W76" s="47" t="str">
        <f t="shared" si="3"/>
        <v>OK</v>
      </c>
    </row>
    <row r="77" spans="1:23" ht="23.25" customHeight="1" x14ac:dyDescent="0.25">
      <c r="A77" s="47">
        <v>72</v>
      </c>
      <c r="B77" s="47" t="s">
        <v>281</v>
      </c>
      <c r="C77" s="47" t="s">
        <v>282</v>
      </c>
      <c r="D77" s="47" t="s">
        <v>140</v>
      </c>
      <c r="E77" s="47"/>
      <c r="F77" s="47" t="str">
        <f t="shared" si="4"/>
        <v>Sample Learner072</v>
      </c>
      <c r="G77" s="47"/>
      <c r="H77" s="70"/>
      <c r="I77" s="47" t="str">
        <f t="shared" ca="1" si="5"/>
        <v/>
      </c>
      <c r="J77" s="47" t="s">
        <v>26</v>
      </c>
      <c r="K77" s="47" t="s">
        <v>110</v>
      </c>
      <c r="L77" s="47" t="s">
        <v>111</v>
      </c>
      <c r="M77" s="47" t="s">
        <v>14</v>
      </c>
      <c r="N77" s="47" t="s">
        <v>101</v>
      </c>
      <c r="O77" s="70">
        <v>46230</v>
      </c>
      <c r="P77" s="47"/>
      <c r="Q77" s="47"/>
      <c r="R77" s="47"/>
      <c r="S77" s="47" t="s">
        <v>141</v>
      </c>
      <c r="T77" s="70">
        <v>46230</v>
      </c>
      <c r="U77" s="47" t="s">
        <v>142</v>
      </c>
      <c r="V77" s="47"/>
      <c r="W77" s="47" t="str">
        <f t="shared" si="3"/>
        <v>OK</v>
      </c>
    </row>
    <row r="78" spans="1:23" ht="23.25" customHeight="1" x14ac:dyDescent="0.25">
      <c r="A78" s="47">
        <v>73</v>
      </c>
      <c r="B78" s="47" t="s">
        <v>283</v>
      </c>
      <c r="C78" s="47" t="s">
        <v>284</v>
      </c>
      <c r="D78" s="47" t="s">
        <v>140</v>
      </c>
      <c r="E78" s="47"/>
      <c r="F78" s="47" t="str">
        <f t="shared" si="4"/>
        <v>Sample Learner073</v>
      </c>
      <c r="G78" s="47"/>
      <c r="H78" s="70"/>
      <c r="I78" s="47" t="str">
        <f t="shared" ca="1" si="5"/>
        <v/>
      </c>
      <c r="J78" s="47" t="s">
        <v>26</v>
      </c>
      <c r="K78" s="47" t="s">
        <v>110</v>
      </c>
      <c r="L78" s="47" t="s">
        <v>111</v>
      </c>
      <c r="M78" s="47" t="s">
        <v>14</v>
      </c>
      <c r="N78" s="47" t="s">
        <v>101</v>
      </c>
      <c r="O78" s="70">
        <v>46230</v>
      </c>
      <c r="P78" s="47"/>
      <c r="Q78" s="47"/>
      <c r="R78" s="47"/>
      <c r="S78" s="47" t="s">
        <v>141</v>
      </c>
      <c r="T78" s="70">
        <v>46230</v>
      </c>
      <c r="U78" s="47" t="s">
        <v>142</v>
      </c>
      <c r="V78" s="47"/>
      <c r="W78" s="47" t="str">
        <f t="shared" si="3"/>
        <v>OK</v>
      </c>
    </row>
    <row r="79" spans="1:23" ht="23.25" customHeight="1" x14ac:dyDescent="0.25">
      <c r="A79" s="47">
        <v>74</v>
      </c>
      <c r="B79" s="47" t="s">
        <v>285</v>
      </c>
      <c r="C79" s="47" t="s">
        <v>286</v>
      </c>
      <c r="D79" s="47" t="s">
        <v>140</v>
      </c>
      <c r="E79" s="47"/>
      <c r="F79" s="47" t="str">
        <f t="shared" si="4"/>
        <v>Sample Learner074</v>
      </c>
      <c r="G79" s="47"/>
      <c r="H79" s="70"/>
      <c r="I79" s="47" t="str">
        <f t="shared" ca="1" si="5"/>
        <v/>
      </c>
      <c r="J79" s="47" t="s">
        <v>26</v>
      </c>
      <c r="K79" s="47" t="s">
        <v>110</v>
      </c>
      <c r="L79" s="47" t="s">
        <v>111</v>
      </c>
      <c r="M79" s="47" t="s">
        <v>14</v>
      </c>
      <c r="N79" s="47" t="s">
        <v>101</v>
      </c>
      <c r="O79" s="70">
        <v>46230</v>
      </c>
      <c r="P79" s="47"/>
      <c r="Q79" s="47"/>
      <c r="R79" s="47"/>
      <c r="S79" s="47" t="s">
        <v>141</v>
      </c>
      <c r="T79" s="70">
        <v>46230</v>
      </c>
      <c r="U79" s="47" t="s">
        <v>142</v>
      </c>
      <c r="V79" s="47"/>
      <c r="W79" s="47" t="str">
        <f t="shared" si="3"/>
        <v>OK</v>
      </c>
    </row>
    <row r="80" spans="1:23" ht="23.25" customHeight="1" x14ac:dyDescent="0.25">
      <c r="A80" s="47">
        <v>75</v>
      </c>
      <c r="B80" s="47" t="s">
        <v>287</v>
      </c>
      <c r="C80" s="47" t="s">
        <v>288</v>
      </c>
      <c r="D80" s="47" t="s">
        <v>140</v>
      </c>
      <c r="E80" s="47"/>
      <c r="F80" s="47" t="str">
        <f t="shared" si="4"/>
        <v>Sample Learner075</v>
      </c>
      <c r="G80" s="47"/>
      <c r="H80" s="70"/>
      <c r="I80" s="47" t="str">
        <f t="shared" ca="1" si="5"/>
        <v/>
      </c>
      <c r="J80" s="47" t="s">
        <v>26</v>
      </c>
      <c r="K80" s="47" t="s">
        <v>110</v>
      </c>
      <c r="L80" s="47" t="s">
        <v>111</v>
      </c>
      <c r="M80" s="47" t="s">
        <v>14</v>
      </c>
      <c r="N80" s="47" t="s">
        <v>101</v>
      </c>
      <c r="O80" s="70">
        <v>46230</v>
      </c>
      <c r="P80" s="47"/>
      <c r="Q80" s="47"/>
      <c r="R80" s="47"/>
      <c r="S80" s="47" t="s">
        <v>141</v>
      </c>
      <c r="T80" s="70">
        <v>46230</v>
      </c>
      <c r="U80" s="47" t="s">
        <v>142</v>
      </c>
      <c r="V80" s="47"/>
      <c r="W80" s="47" t="str">
        <f t="shared" si="3"/>
        <v>OK</v>
      </c>
    </row>
    <row r="81" spans="1:23" ht="23.25" customHeight="1" x14ac:dyDescent="0.25">
      <c r="A81" s="47">
        <v>76</v>
      </c>
      <c r="B81" s="47" t="s">
        <v>289</v>
      </c>
      <c r="C81" s="47" t="s">
        <v>214</v>
      </c>
      <c r="D81" s="47" t="s">
        <v>290</v>
      </c>
      <c r="E81" s="47"/>
      <c r="F81" s="47" t="str">
        <f t="shared" si="4"/>
        <v>JOVEN D. CAMAYLONGAN</v>
      </c>
      <c r="G81" s="47"/>
      <c r="H81" s="70"/>
      <c r="I81" s="47" t="str">
        <f t="shared" ca="1" si="5"/>
        <v/>
      </c>
      <c r="J81" s="47" t="s">
        <v>39</v>
      </c>
      <c r="K81" s="47" t="s">
        <v>112</v>
      </c>
      <c r="L81" s="47" t="s">
        <v>113</v>
      </c>
      <c r="M81" s="47" t="s">
        <v>14</v>
      </c>
      <c r="N81" s="47" t="s">
        <v>101</v>
      </c>
      <c r="O81" s="70">
        <v>46230</v>
      </c>
      <c r="P81" s="47"/>
      <c r="Q81" s="47"/>
      <c r="R81" s="47"/>
      <c r="S81" s="47" t="s">
        <v>175</v>
      </c>
      <c r="T81" s="70">
        <v>46230</v>
      </c>
      <c r="U81" s="47" t="s">
        <v>291</v>
      </c>
      <c r="V81" s="47" t="s">
        <v>177</v>
      </c>
      <c r="W81" s="47" t="s">
        <v>178</v>
      </c>
    </row>
    <row r="82" spans="1:23" ht="23.25" customHeight="1" x14ac:dyDescent="0.25">
      <c r="A82" s="47">
        <v>77</v>
      </c>
      <c r="B82" s="47" t="s">
        <v>289</v>
      </c>
      <c r="C82" s="47" t="s">
        <v>292</v>
      </c>
      <c r="D82" s="47" t="s">
        <v>293</v>
      </c>
      <c r="E82" s="47"/>
      <c r="F82" s="47" t="str">
        <f t="shared" si="4"/>
        <v>JEFREY G. GOMEZ</v>
      </c>
      <c r="G82" s="47"/>
      <c r="H82" s="70"/>
      <c r="I82" s="47" t="str">
        <f t="shared" ca="1" si="5"/>
        <v/>
      </c>
      <c r="J82" s="47" t="s">
        <v>39</v>
      </c>
      <c r="K82" s="47" t="s">
        <v>112</v>
      </c>
      <c r="L82" s="47" t="s">
        <v>113</v>
      </c>
      <c r="M82" s="47" t="s">
        <v>14</v>
      </c>
      <c r="N82" s="47" t="s">
        <v>101</v>
      </c>
      <c r="O82" s="70">
        <v>46230</v>
      </c>
      <c r="P82" s="47"/>
      <c r="Q82" s="47"/>
      <c r="R82" s="47"/>
      <c r="S82" s="47" t="s">
        <v>175</v>
      </c>
      <c r="T82" s="70">
        <v>46230</v>
      </c>
      <c r="U82" s="47" t="s">
        <v>291</v>
      </c>
      <c r="V82" s="47" t="s">
        <v>177</v>
      </c>
      <c r="W82" s="47" t="s">
        <v>178</v>
      </c>
    </row>
    <row r="83" spans="1:23" ht="23.25" customHeight="1" x14ac:dyDescent="0.25">
      <c r="A83" s="47">
        <v>78</v>
      </c>
      <c r="B83" s="47" t="s">
        <v>289</v>
      </c>
      <c r="C83" s="47" t="s">
        <v>294</v>
      </c>
      <c r="D83" s="47" t="s">
        <v>295</v>
      </c>
      <c r="E83" s="47"/>
      <c r="F83" s="47" t="str">
        <f t="shared" si="4"/>
        <v>RICHARD N. LAGURA</v>
      </c>
      <c r="G83" s="47"/>
      <c r="H83" s="70"/>
      <c r="I83" s="47" t="str">
        <f t="shared" ca="1" si="5"/>
        <v/>
      </c>
      <c r="J83" s="47" t="s">
        <v>39</v>
      </c>
      <c r="K83" s="47" t="s">
        <v>112</v>
      </c>
      <c r="L83" s="47" t="s">
        <v>113</v>
      </c>
      <c r="M83" s="47" t="s">
        <v>14</v>
      </c>
      <c r="N83" s="47" t="s">
        <v>101</v>
      </c>
      <c r="O83" s="70">
        <v>46230</v>
      </c>
      <c r="P83" s="47"/>
      <c r="Q83" s="47"/>
      <c r="R83" s="47"/>
      <c r="S83" s="47" t="s">
        <v>175</v>
      </c>
      <c r="T83" s="70">
        <v>46230</v>
      </c>
      <c r="U83" s="47" t="s">
        <v>291</v>
      </c>
      <c r="V83" s="47" t="s">
        <v>177</v>
      </c>
      <c r="W83" s="47" t="s">
        <v>178</v>
      </c>
    </row>
    <row r="84" spans="1:23" ht="23.25" customHeight="1" x14ac:dyDescent="0.25">
      <c r="A84" s="47">
        <v>79</v>
      </c>
      <c r="B84" s="47" t="s">
        <v>289</v>
      </c>
      <c r="C84" s="47" t="s">
        <v>189</v>
      </c>
      <c r="D84" s="47" t="s">
        <v>296</v>
      </c>
      <c r="E84" s="47"/>
      <c r="F84" s="47" t="str">
        <f t="shared" si="4"/>
        <v>JOSELITO A. RIVAS</v>
      </c>
      <c r="G84" s="47"/>
      <c r="H84" s="70"/>
      <c r="I84" s="47" t="str">
        <f t="shared" ca="1" si="5"/>
        <v/>
      </c>
      <c r="J84" s="47" t="s">
        <v>39</v>
      </c>
      <c r="K84" s="47" t="s">
        <v>112</v>
      </c>
      <c r="L84" s="47" t="s">
        <v>113</v>
      </c>
      <c r="M84" s="47" t="s">
        <v>14</v>
      </c>
      <c r="N84" s="47" t="s">
        <v>101</v>
      </c>
      <c r="O84" s="70">
        <v>46230</v>
      </c>
      <c r="P84" s="47"/>
      <c r="Q84" s="47"/>
      <c r="R84" s="47"/>
      <c r="S84" s="47" t="s">
        <v>175</v>
      </c>
      <c r="T84" s="70">
        <v>46230</v>
      </c>
      <c r="U84" s="47" t="s">
        <v>291</v>
      </c>
      <c r="V84" s="47" t="s">
        <v>177</v>
      </c>
      <c r="W84" s="47" t="s">
        <v>178</v>
      </c>
    </row>
    <row r="85" spans="1:23" ht="23.25" customHeight="1" x14ac:dyDescent="0.25">
      <c r="A85" s="47">
        <v>80</v>
      </c>
      <c r="B85" s="47" t="s">
        <v>289</v>
      </c>
      <c r="C85" s="47" t="s">
        <v>297</v>
      </c>
      <c r="D85" s="47" t="s">
        <v>298</v>
      </c>
      <c r="E85" s="47"/>
      <c r="F85" s="47" t="str">
        <f t="shared" si="4"/>
        <v>MISHELLE S. ABERIO</v>
      </c>
      <c r="G85" s="47"/>
      <c r="H85" s="70"/>
      <c r="I85" s="47" t="str">
        <f t="shared" ca="1" si="5"/>
        <v/>
      </c>
      <c r="J85" s="47" t="s">
        <v>39</v>
      </c>
      <c r="K85" s="47" t="s">
        <v>112</v>
      </c>
      <c r="L85" s="47" t="s">
        <v>113</v>
      </c>
      <c r="M85" s="47" t="s">
        <v>14</v>
      </c>
      <c r="N85" s="47" t="s">
        <v>101</v>
      </c>
      <c r="O85" s="70">
        <v>46230</v>
      </c>
      <c r="P85" s="47"/>
      <c r="Q85" s="47"/>
      <c r="R85" s="47"/>
      <c r="S85" s="47" t="s">
        <v>175</v>
      </c>
      <c r="T85" s="70">
        <v>46230</v>
      </c>
      <c r="U85" s="47" t="s">
        <v>291</v>
      </c>
      <c r="V85" s="47" t="s">
        <v>177</v>
      </c>
      <c r="W85" s="47" t="s">
        <v>178</v>
      </c>
    </row>
    <row r="86" spans="1:23" ht="23.25" customHeight="1" x14ac:dyDescent="0.25">
      <c r="A86" s="47">
        <v>81</v>
      </c>
      <c r="B86" s="47" t="s">
        <v>289</v>
      </c>
      <c r="C86" s="47" t="s">
        <v>211</v>
      </c>
      <c r="D86" s="47" t="s">
        <v>299</v>
      </c>
      <c r="E86" s="47"/>
      <c r="F86" s="47" t="str">
        <f t="shared" si="4"/>
        <v>RIANNA MAE C. BASCO</v>
      </c>
      <c r="G86" s="47"/>
      <c r="H86" s="70"/>
      <c r="I86" s="47" t="str">
        <f t="shared" ca="1" si="5"/>
        <v/>
      </c>
      <c r="J86" s="47" t="s">
        <v>39</v>
      </c>
      <c r="K86" s="47" t="s">
        <v>112</v>
      </c>
      <c r="L86" s="47" t="s">
        <v>113</v>
      </c>
      <c r="M86" s="47" t="s">
        <v>14</v>
      </c>
      <c r="N86" s="47" t="s">
        <v>101</v>
      </c>
      <c r="O86" s="70">
        <v>46230</v>
      </c>
      <c r="P86" s="47"/>
      <c r="Q86" s="47"/>
      <c r="R86" s="47"/>
      <c r="S86" s="47" t="s">
        <v>175</v>
      </c>
      <c r="T86" s="70">
        <v>46230</v>
      </c>
      <c r="U86" s="47" t="s">
        <v>291</v>
      </c>
      <c r="V86" s="47" t="s">
        <v>177</v>
      </c>
      <c r="W86" s="47" t="s">
        <v>178</v>
      </c>
    </row>
    <row r="87" spans="1:23" ht="23.25" customHeight="1" x14ac:dyDescent="0.25">
      <c r="A87" s="47">
        <v>82</v>
      </c>
      <c r="B87" s="47" t="s">
        <v>289</v>
      </c>
      <c r="C87" s="47" t="s">
        <v>292</v>
      </c>
      <c r="D87" s="47" t="s">
        <v>300</v>
      </c>
      <c r="E87" s="47"/>
      <c r="F87" s="47" t="str">
        <f t="shared" si="4"/>
        <v>JENNY G. GOMEZ</v>
      </c>
      <c r="G87" s="47"/>
      <c r="H87" s="70"/>
      <c r="I87" s="47" t="str">
        <f t="shared" ca="1" si="5"/>
        <v/>
      </c>
      <c r="J87" s="47" t="s">
        <v>39</v>
      </c>
      <c r="K87" s="47" t="s">
        <v>112</v>
      </c>
      <c r="L87" s="47" t="s">
        <v>113</v>
      </c>
      <c r="M87" s="47" t="s">
        <v>14</v>
      </c>
      <c r="N87" s="47" t="s">
        <v>101</v>
      </c>
      <c r="O87" s="70">
        <v>46230</v>
      </c>
      <c r="P87" s="47"/>
      <c r="Q87" s="47"/>
      <c r="R87" s="47"/>
      <c r="S87" s="47" t="s">
        <v>175</v>
      </c>
      <c r="T87" s="70">
        <v>46230</v>
      </c>
      <c r="U87" s="47" t="s">
        <v>291</v>
      </c>
      <c r="V87" s="47" t="s">
        <v>177</v>
      </c>
      <c r="W87" s="47" t="s">
        <v>178</v>
      </c>
    </row>
    <row r="88" spans="1:23" ht="23.25" customHeight="1" x14ac:dyDescent="0.25">
      <c r="A88" s="47">
        <v>83</v>
      </c>
      <c r="B88" s="47" t="s">
        <v>289</v>
      </c>
      <c r="C88" s="47" t="s">
        <v>203</v>
      </c>
      <c r="D88" s="47" t="s">
        <v>301</v>
      </c>
      <c r="E88" s="47"/>
      <c r="F88" s="47" t="str">
        <f t="shared" si="4"/>
        <v>MIERRA Q. JALANDONI</v>
      </c>
      <c r="G88" s="47"/>
      <c r="H88" s="70"/>
      <c r="I88" s="47" t="str">
        <f t="shared" ca="1" si="5"/>
        <v/>
      </c>
      <c r="J88" s="47" t="s">
        <v>39</v>
      </c>
      <c r="K88" s="47" t="s">
        <v>112</v>
      </c>
      <c r="L88" s="47" t="s">
        <v>113</v>
      </c>
      <c r="M88" s="47" t="s">
        <v>14</v>
      </c>
      <c r="N88" s="47" t="s">
        <v>101</v>
      </c>
      <c r="O88" s="70">
        <v>46230</v>
      </c>
      <c r="P88" s="47"/>
      <c r="Q88" s="47"/>
      <c r="R88" s="47"/>
      <c r="S88" s="47" t="s">
        <v>175</v>
      </c>
      <c r="T88" s="70">
        <v>46230</v>
      </c>
      <c r="U88" s="47" t="s">
        <v>291</v>
      </c>
      <c r="V88" s="47" t="s">
        <v>177</v>
      </c>
      <c r="W88" s="47" t="s">
        <v>178</v>
      </c>
    </row>
    <row r="89" spans="1:23" ht="23.25" customHeight="1" x14ac:dyDescent="0.25">
      <c r="A89" s="47">
        <v>84</v>
      </c>
      <c r="B89" s="47" t="s">
        <v>289</v>
      </c>
      <c r="C89" s="47" t="s">
        <v>302</v>
      </c>
      <c r="D89" s="47" t="s">
        <v>303</v>
      </c>
      <c r="E89" s="47"/>
      <c r="F89" s="47" t="str">
        <f t="shared" si="4"/>
        <v>JHESIEN CLAIRE LAURENTE</v>
      </c>
      <c r="G89" s="47"/>
      <c r="H89" s="70"/>
      <c r="I89" s="47" t="str">
        <f t="shared" ca="1" si="5"/>
        <v/>
      </c>
      <c r="J89" s="47" t="s">
        <v>39</v>
      </c>
      <c r="K89" s="47" t="s">
        <v>112</v>
      </c>
      <c r="L89" s="47" t="s">
        <v>113</v>
      </c>
      <c r="M89" s="47" t="s">
        <v>14</v>
      </c>
      <c r="N89" s="47" t="s">
        <v>101</v>
      </c>
      <c r="O89" s="70">
        <v>46230</v>
      </c>
      <c r="P89" s="47"/>
      <c r="Q89" s="47"/>
      <c r="R89" s="47"/>
      <c r="S89" s="47" t="s">
        <v>175</v>
      </c>
      <c r="T89" s="70">
        <v>46230</v>
      </c>
      <c r="U89" s="47" t="s">
        <v>291</v>
      </c>
      <c r="V89" s="47" t="s">
        <v>177</v>
      </c>
      <c r="W89" s="47" t="s">
        <v>178</v>
      </c>
    </row>
    <row r="90" spans="1:23" ht="23.25" customHeight="1" x14ac:dyDescent="0.25">
      <c r="A90" s="47">
        <v>85</v>
      </c>
      <c r="B90" s="47" t="s">
        <v>289</v>
      </c>
      <c r="C90" s="47" t="s">
        <v>304</v>
      </c>
      <c r="D90" s="47" t="s">
        <v>305</v>
      </c>
      <c r="E90" s="47"/>
      <c r="F90" s="47" t="str">
        <f t="shared" si="4"/>
        <v>ALTHEA R. LAURON</v>
      </c>
      <c r="G90" s="47"/>
      <c r="H90" s="70"/>
      <c r="I90" s="47" t="str">
        <f t="shared" ca="1" si="5"/>
        <v/>
      </c>
      <c r="J90" s="47" t="s">
        <v>39</v>
      </c>
      <c r="K90" s="47" t="s">
        <v>112</v>
      </c>
      <c r="L90" s="47" t="s">
        <v>113</v>
      </c>
      <c r="M90" s="47" t="s">
        <v>14</v>
      </c>
      <c r="N90" s="47" t="s">
        <v>101</v>
      </c>
      <c r="O90" s="70">
        <v>46230</v>
      </c>
      <c r="P90" s="47"/>
      <c r="Q90" s="47"/>
      <c r="R90" s="47"/>
      <c r="S90" s="47" t="s">
        <v>175</v>
      </c>
      <c r="T90" s="70">
        <v>46230</v>
      </c>
      <c r="U90" s="47" t="s">
        <v>291</v>
      </c>
      <c r="V90" s="47" t="s">
        <v>177</v>
      </c>
      <c r="W90" s="47" t="s">
        <v>178</v>
      </c>
    </row>
    <row r="91" spans="1:23" ht="23.25" customHeight="1" x14ac:dyDescent="0.25">
      <c r="A91" s="47">
        <v>86</v>
      </c>
      <c r="B91" s="47" t="s">
        <v>289</v>
      </c>
      <c r="C91" s="47" t="s">
        <v>187</v>
      </c>
      <c r="D91" s="47" t="s">
        <v>306</v>
      </c>
      <c r="E91" s="47"/>
      <c r="F91" s="47" t="str">
        <f t="shared" si="4"/>
        <v>MECHEL JANE Q. LOGRONIO</v>
      </c>
      <c r="G91" s="47"/>
      <c r="H91" s="70"/>
      <c r="I91" s="47" t="str">
        <f t="shared" ca="1" si="5"/>
        <v/>
      </c>
      <c r="J91" s="47" t="s">
        <v>39</v>
      </c>
      <c r="K91" s="47" t="s">
        <v>112</v>
      </c>
      <c r="L91" s="47" t="s">
        <v>113</v>
      </c>
      <c r="M91" s="47" t="s">
        <v>14</v>
      </c>
      <c r="N91" s="47" t="s">
        <v>101</v>
      </c>
      <c r="O91" s="70">
        <v>46230</v>
      </c>
      <c r="P91" s="47"/>
      <c r="Q91" s="47"/>
      <c r="R91" s="47"/>
      <c r="S91" s="47" t="s">
        <v>175</v>
      </c>
      <c r="T91" s="70">
        <v>46230</v>
      </c>
      <c r="U91" s="47" t="s">
        <v>291</v>
      </c>
      <c r="V91" s="47" t="s">
        <v>177</v>
      </c>
      <c r="W91" s="47" t="s">
        <v>178</v>
      </c>
    </row>
    <row r="92" spans="1:23" ht="23.25" customHeight="1" x14ac:dyDescent="0.25">
      <c r="A92" s="47">
        <v>87</v>
      </c>
      <c r="B92" s="47" t="s">
        <v>289</v>
      </c>
      <c r="C92" s="47" t="s">
        <v>307</v>
      </c>
      <c r="D92" s="47" t="s">
        <v>308</v>
      </c>
      <c r="E92" s="47"/>
      <c r="F92" s="47" t="str">
        <f t="shared" si="4"/>
        <v>RHEA JANE P. MESOLIS</v>
      </c>
      <c r="G92" s="47"/>
      <c r="H92" s="70"/>
      <c r="I92" s="47" t="str">
        <f t="shared" ca="1" si="5"/>
        <v/>
      </c>
      <c r="J92" s="47" t="s">
        <v>39</v>
      </c>
      <c r="K92" s="47" t="s">
        <v>112</v>
      </c>
      <c r="L92" s="47" t="s">
        <v>113</v>
      </c>
      <c r="M92" s="47" t="s">
        <v>14</v>
      </c>
      <c r="N92" s="47" t="s">
        <v>101</v>
      </c>
      <c r="O92" s="70">
        <v>46230</v>
      </c>
      <c r="P92" s="47"/>
      <c r="Q92" s="47"/>
      <c r="R92" s="47"/>
      <c r="S92" s="47" t="s">
        <v>175</v>
      </c>
      <c r="T92" s="70">
        <v>46230</v>
      </c>
      <c r="U92" s="47" t="s">
        <v>291</v>
      </c>
      <c r="V92" s="47" t="s">
        <v>177</v>
      </c>
      <c r="W92" s="47" t="s">
        <v>178</v>
      </c>
    </row>
    <row r="93" spans="1:23" ht="23.25" customHeight="1" x14ac:dyDescent="0.25">
      <c r="A93" s="47">
        <v>88</v>
      </c>
      <c r="B93" s="47" t="s">
        <v>289</v>
      </c>
      <c r="C93" s="47" t="s">
        <v>309</v>
      </c>
      <c r="D93" s="47" t="s">
        <v>310</v>
      </c>
      <c r="E93" s="47"/>
      <c r="F93" s="47" t="str">
        <f t="shared" si="4"/>
        <v>JERYCA S. MONTERA</v>
      </c>
      <c r="G93" s="47"/>
      <c r="H93" s="70"/>
      <c r="I93" s="47" t="str">
        <f t="shared" ca="1" si="5"/>
        <v/>
      </c>
      <c r="J93" s="47" t="s">
        <v>39</v>
      </c>
      <c r="K93" s="47" t="s">
        <v>112</v>
      </c>
      <c r="L93" s="47" t="s">
        <v>113</v>
      </c>
      <c r="M93" s="47" t="s">
        <v>14</v>
      </c>
      <c r="N93" s="47" t="s">
        <v>101</v>
      </c>
      <c r="O93" s="70">
        <v>46230</v>
      </c>
      <c r="P93" s="47"/>
      <c r="Q93" s="47"/>
      <c r="R93" s="47"/>
      <c r="S93" s="47" t="s">
        <v>175</v>
      </c>
      <c r="T93" s="70">
        <v>46230</v>
      </c>
      <c r="U93" s="47" t="s">
        <v>291</v>
      </c>
      <c r="V93" s="47" t="s">
        <v>177</v>
      </c>
      <c r="W93" s="47" t="s">
        <v>178</v>
      </c>
    </row>
    <row r="94" spans="1:23" ht="23.25" customHeight="1" x14ac:dyDescent="0.25">
      <c r="A94" s="47">
        <v>89</v>
      </c>
      <c r="B94" s="47" t="s">
        <v>289</v>
      </c>
      <c r="C94" s="47" t="s">
        <v>193</v>
      </c>
      <c r="D94" s="47" t="s">
        <v>311</v>
      </c>
      <c r="E94" s="47"/>
      <c r="F94" s="47" t="str">
        <f t="shared" si="4"/>
        <v>JHEIA MAE SOPHIA C. TANOLA</v>
      </c>
      <c r="G94" s="47"/>
      <c r="H94" s="70"/>
      <c r="I94" s="47" t="str">
        <f t="shared" ca="1" si="5"/>
        <v/>
      </c>
      <c r="J94" s="47" t="s">
        <v>39</v>
      </c>
      <c r="K94" s="47" t="s">
        <v>112</v>
      </c>
      <c r="L94" s="47" t="s">
        <v>113</v>
      </c>
      <c r="M94" s="47" t="s">
        <v>14</v>
      </c>
      <c r="N94" s="47" t="s">
        <v>101</v>
      </c>
      <c r="O94" s="70">
        <v>46230</v>
      </c>
      <c r="P94" s="47"/>
      <c r="Q94" s="47"/>
      <c r="R94" s="47"/>
      <c r="S94" s="47" t="s">
        <v>175</v>
      </c>
      <c r="T94" s="70">
        <v>46230</v>
      </c>
      <c r="U94" s="47" t="s">
        <v>291</v>
      </c>
      <c r="V94" s="47" t="s">
        <v>177</v>
      </c>
      <c r="W94" s="47" t="s">
        <v>178</v>
      </c>
    </row>
    <row r="95" spans="1:23" ht="23.25" customHeight="1" x14ac:dyDescent="0.25">
      <c r="A95" s="47">
        <v>90</v>
      </c>
      <c r="B95" s="47" t="s">
        <v>289</v>
      </c>
      <c r="C95" s="47" t="s">
        <v>234</v>
      </c>
      <c r="D95" s="47" t="s">
        <v>312</v>
      </c>
      <c r="E95" s="47"/>
      <c r="F95" s="47" t="str">
        <f t="shared" si="4"/>
        <v>ROVELYN B. TOBIANO</v>
      </c>
      <c r="G95" s="47"/>
      <c r="H95" s="70"/>
      <c r="I95" s="47" t="str">
        <f t="shared" ca="1" si="5"/>
        <v/>
      </c>
      <c r="J95" s="47" t="s">
        <v>39</v>
      </c>
      <c r="K95" s="47" t="s">
        <v>112</v>
      </c>
      <c r="L95" s="47" t="s">
        <v>113</v>
      </c>
      <c r="M95" s="47" t="s">
        <v>14</v>
      </c>
      <c r="N95" s="47" t="s">
        <v>101</v>
      </c>
      <c r="O95" s="70">
        <v>46230</v>
      </c>
      <c r="P95" s="47"/>
      <c r="Q95" s="47"/>
      <c r="R95" s="47"/>
      <c r="S95" s="47" t="s">
        <v>175</v>
      </c>
      <c r="T95" s="70">
        <v>46230</v>
      </c>
      <c r="U95" s="47" t="s">
        <v>291</v>
      </c>
      <c r="V95" s="47" t="s">
        <v>177</v>
      </c>
      <c r="W95" s="47" t="s">
        <v>178</v>
      </c>
    </row>
    <row r="96" spans="1:23" ht="23.25" customHeight="1" x14ac:dyDescent="0.25">
      <c r="A96" s="47">
        <v>91</v>
      </c>
      <c r="B96" s="47" t="s">
        <v>289</v>
      </c>
      <c r="C96" s="47" t="s">
        <v>223</v>
      </c>
      <c r="D96" s="47" t="s">
        <v>313</v>
      </c>
      <c r="E96" s="47"/>
      <c r="F96" s="47" t="str">
        <f t="shared" si="4"/>
        <v>LEA JOY R. VISCAYNO</v>
      </c>
      <c r="G96" s="47"/>
      <c r="H96" s="70"/>
      <c r="I96" s="47" t="str">
        <f t="shared" ca="1" si="5"/>
        <v/>
      </c>
      <c r="J96" s="47" t="s">
        <v>39</v>
      </c>
      <c r="K96" s="47" t="s">
        <v>112</v>
      </c>
      <c r="L96" s="47" t="s">
        <v>113</v>
      </c>
      <c r="M96" s="47" t="s">
        <v>14</v>
      </c>
      <c r="N96" s="47" t="s">
        <v>101</v>
      </c>
      <c r="O96" s="70">
        <v>46230</v>
      </c>
      <c r="P96" s="47"/>
      <c r="Q96" s="47"/>
      <c r="R96" s="47"/>
      <c r="S96" s="47" t="s">
        <v>175</v>
      </c>
      <c r="T96" s="70">
        <v>46230</v>
      </c>
      <c r="U96" s="47" t="s">
        <v>291</v>
      </c>
      <c r="V96" s="47" t="s">
        <v>177</v>
      </c>
      <c r="W96" s="47" t="s">
        <v>178</v>
      </c>
    </row>
    <row r="97" spans="1:23" ht="23.25" customHeight="1" x14ac:dyDescent="0.25">
      <c r="A97" s="47">
        <v>92</v>
      </c>
      <c r="B97" s="47" t="s">
        <v>314</v>
      </c>
      <c r="C97" s="47" t="s">
        <v>195</v>
      </c>
      <c r="D97" s="47" t="s">
        <v>315</v>
      </c>
      <c r="E97" s="47" t="s">
        <v>316</v>
      </c>
      <c r="F97" s="47" t="str">
        <f t="shared" si="4"/>
        <v>KARL OSORIO ALMONTE</v>
      </c>
      <c r="G97" s="47"/>
      <c r="H97" s="70"/>
      <c r="I97" s="47" t="str">
        <f t="shared" ca="1" si="5"/>
        <v/>
      </c>
      <c r="J97" s="47" t="s">
        <v>42</v>
      </c>
      <c r="K97" s="47" t="s">
        <v>114</v>
      </c>
      <c r="L97" s="47" t="s">
        <v>115</v>
      </c>
      <c r="M97" s="47" t="s">
        <v>14</v>
      </c>
      <c r="N97" s="47" t="s">
        <v>101</v>
      </c>
      <c r="O97" s="70">
        <v>46230</v>
      </c>
      <c r="P97" s="47"/>
      <c r="Q97" s="47"/>
      <c r="R97" s="47"/>
      <c r="S97" s="47" t="s">
        <v>175</v>
      </c>
      <c r="T97" s="70">
        <v>46230</v>
      </c>
      <c r="U97" s="47" t="s">
        <v>317</v>
      </c>
      <c r="V97" s="47" t="s">
        <v>177</v>
      </c>
      <c r="W97" s="47" t="s">
        <v>178</v>
      </c>
    </row>
    <row r="98" spans="1:23" ht="23.25" customHeight="1" x14ac:dyDescent="0.25">
      <c r="A98" s="47">
        <v>93</v>
      </c>
      <c r="B98" s="47" t="s">
        <v>314</v>
      </c>
      <c r="C98" s="47" t="s">
        <v>318</v>
      </c>
      <c r="D98" s="47" t="s">
        <v>319</v>
      </c>
      <c r="E98" s="47" t="s">
        <v>320</v>
      </c>
      <c r="F98" s="47" t="str">
        <f t="shared" si="4"/>
        <v>FRANCIS PAUL LIBORA BUNDAN</v>
      </c>
      <c r="G98" s="47"/>
      <c r="H98" s="70"/>
      <c r="I98" s="47" t="str">
        <f t="shared" ca="1" si="5"/>
        <v/>
      </c>
      <c r="J98" s="47" t="s">
        <v>42</v>
      </c>
      <c r="K98" s="47" t="s">
        <v>114</v>
      </c>
      <c r="L98" s="47" t="s">
        <v>115</v>
      </c>
      <c r="M98" s="47" t="s">
        <v>14</v>
      </c>
      <c r="N98" s="47" t="s">
        <v>101</v>
      </c>
      <c r="O98" s="70">
        <v>46230</v>
      </c>
      <c r="P98" s="47"/>
      <c r="Q98" s="47"/>
      <c r="R98" s="47"/>
      <c r="S98" s="47" t="s">
        <v>175</v>
      </c>
      <c r="T98" s="70">
        <v>46230</v>
      </c>
      <c r="U98" s="47" t="s">
        <v>317</v>
      </c>
      <c r="V98" s="47" t="s">
        <v>177</v>
      </c>
      <c r="W98" s="47" t="s">
        <v>178</v>
      </c>
    </row>
    <row r="99" spans="1:23" ht="23.25" customHeight="1" x14ac:dyDescent="0.25">
      <c r="A99" s="47">
        <v>94</v>
      </c>
      <c r="B99" s="47" t="s">
        <v>314</v>
      </c>
      <c r="C99" s="47" t="s">
        <v>321</v>
      </c>
      <c r="D99" s="47" t="s">
        <v>322</v>
      </c>
      <c r="E99" s="47" t="s">
        <v>189</v>
      </c>
      <c r="F99" s="47" t="str">
        <f t="shared" si="4"/>
        <v>JHON MARK RIVAS DUMABOK</v>
      </c>
      <c r="G99" s="47"/>
      <c r="H99" s="70"/>
      <c r="I99" s="47" t="str">
        <f t="shared" ca="1" si="5"/>
        <v/>
      </c>
      <c r="J99" s="47" t="s">
        <v>42</v>
      </c>
      <c r="K99" s="47" t="s">
        <v>114</v>
      </c>
      <c r="L99" s="47" t="s">
        <v>115</v>
      </c>
      <c r="M99" s="47" t="s">
        <v>14</v>
      </c>
      <c r="N99" s="47" t="s">
        <v>101</v>
      </c>
      <c r="O99" s="70">
        <v>46230</v>
      </c>
      <c r="P99" s="47"/>
      <c r="Q99" s="47"/>
      <c r="R99" s="47"/>
      <c r="S99" s="47" t="s">
        <v>175</v>
      </c>
      <c r="T99" s="70">
        <v>46230</v>
      </c>
      <c r="U99" s="47" t="s">
        <v>317</v>
      </c>
      <c r="V99" s="47" t="s">
        <v>177</v>
      </c>
      <c r="W99" s="47" t="s">
        <v>178</v>
      </c>
    </row>
    <row r="100" spans="1:23" ht="23.25" customHeight="1" x14ac:dyDescent="0.25">
      <c r="A100" s="47">
        <v>95</v>
      </c>
      <c r="B100" s="47" t="s">
        <v>314</v>
      </c>
      <c r="C100" s="47" t="s">
        <v>323</v>
      </c>
      <c r="D100" s="47" t="s">
        <v>324</v>
      </c>
      <c r="E100" s="47" t="s">
        <v>325</v>
      </c>
      <c r="F100" s="47" t="str">
        <f t="shared" si="4"/>
        <v>ROGELLIO PANES ESTRELLA</v>
      </c>
      <c r="G100" s="47"/>
      <c r="H100" s="70"/>
      <c r="I100" s="47" t="str">
        <f t="shared" ca="1" si="5"/>
        <v/>
      </c>
      <c r="J100" s="47" t="s">
        <v>42</v>
      </c>
      <c r="K100" s="47" t="s">
        <v>114</v>
      </c>
      <c r="L100" s="47" t="s">
        <v>115</v>
      </c>
      <c r="M100" s="47" t="s">
        <v>14</v>
      </c>
      <c r="N100" s="47" t="s">
        <v>101</v>
      </c>
      <c r="O100" s="70">
        <v>46230</v>
      </c>
      <c r="P100" s="47"/>
      <c r="Q100" s="47"/>
      <c r="R100" s="47"/>
      <c r="S100" s="47" t="s">
        <v>175</v>
      </c>
      <c r="T100" s="70">
        <v>46230</v>
      </c>
      <c r="U100" s="47" t="s">
        <v>317</v>
      </c>
      <c r="V100" s="47" t="s">
        <v>177</v>
      </c>
      <c r="W100" s="47" t="s">
        <v>178</v>
      </c>
    </row>
    <row r="101" spans="1:23" ht="23.25" customHeight="1" x14ac:dyDescent="0.25">
      <c r="A101" s="47">
        <v>96</v>
      </c>
      <c r="B101" s="47" t="s">
        <v>314</v>
      </c>
      <c r="C101" s="47" t="s">
        <v>326</v>
      </c>
      <c r="D101" s="47" t="s">
        <v>327</v>
      </c>
      <c r="E101" s="47" t="s">
        <v>328</v>
      </c>
      <c r="F101" s="47" t="str">
        <f t="shared" si="4"/>
        <v>JHENO SAROCAM GONZAGA</v>
      </c>
      <c r="G101" s="47"/>
      <c r="H101" s="70"/>
      <c r="I101" s="47" t="str">
        <f t="shared" ca="1" si="5"/>
        <v/>
      </c>
      <c r="J101" s="47" t="s">
        <v>42</v>
      </c>
      <c r="K101" s="47" t="s">
        <v>114</v>
      </c>
      <c r="L101" s="47" t="s">
        <v>115</v>
      </c>
      <c r="M101" s="47" t="s">
        <v>14</v>
      </c>
      <c r="N101" s="47" t="s">
        <v>101</v>
      </c>
      <c r="O101" s="70">
        <v>46230</v>
      </c>
      <c r="P101" s="47"/>
      <c r="Q101" s="47"/>
      <c r="R101" s="47"/>
      <c r="S101" s="47" t="s">
        <v>175</v>
      </c>
      <c r="T101" s="70">
        <v>46230</v>
      </c>
      <c r="U101" s="47" t="s">
        <v>317</v>
      </c>
      <c r="V101" s="47" t="s">
        <v>177</v>
      </c>
      <c r="W101" s="47" t="s">
        <v>178</v>
      </c>
    </row>
    <row r="102" spans="1:23" ht="23.25" customHeight="1" x14ac:dyDescent="0.25">
      <c r="A102" s="47">
        <v>97</v>
      </c>
      <c r="B102" s="47" t="s">
        <v>314</v>
      </c>
      <c r="C102" s="47" t="s">
        <v>329</v>
      </c>
      <c r="D102" s="47" t="s">
        <v>330</v>
      </c>
      <c r="E102" s="47"/>
      <c r="F102" s="47" t="str">
        <f t="shared" si="4"/>
        <v>PRINCE ALDEN JUALO</v>
      </c>
      <c r="G102" s="47"/>
      <c r="H102" s="70"/>
      <c r="I102" s="47" t="str">
        <f t="shared" ca="1" si="5"/>
        <v/>
      </c>
      <c r="J102" s="47" t="s">
        <v>42</v>
      </c>
      <c r="K102" s="47" t="s">
        <v>114</v>
      </c>
      <c r="L102" s="47" t="s">
        <v>115</v>
      </c>
      <c r="M102" s="47" t="s">
        <v>14</v>
      </c>
      <c r="N102" s="47" t="s">
        <v>101</v>
      </c>
      <c r="O102" s="70">
        <v>46230</v>
      </c>
      <c r="P102" s="47"/>
      <c r="Q102" s="47"/>
      <c r="R102" s="47"/>
      <c r="S102" s="47" t="s">
        <v>175</v>
      </c>
      <c r="T102" s="70">
        <v>46230</v>
      </c>
      <c r="U102" s="47" t="s">
        <v>317</v>
      </c>
      <c r="V102" s="47" t="s">
        <v>177</v>
      </c>
      <c r="W102" s="47" t="s">
        <v>178</v>
      </c>
    </row>
    <row r="103" spans="1:23" ht="23.25" customHeight="1" x14ac:dyDescent="0.25">
      <c r="A103" s="47">
        <v>98</v>
      </c>
      <c r="B103" s="47" t="s">
        <v>314</v>
      </c>
      <c r="C103" s="47" t="s">
        <v>230</v>
      </c>
      <c r="D103" s="47" t="s">
        <v>331</v>
      </c>
      <c r="E103" s="47" t="s">
        <v>332</v>
      </c>
      <c r="F103" s="47" t="str">
        <f t="shared" si="4"/>
        <v>JAYLOU INDE RAMIS</v>
      </c>
      <c r="G103" s="47"/>
      <c r="H103" s="70"/>
      <c r="I103" s="47" t="str">
        <f t="shared" ca="1" si="5"/>
        <v/>
      </c>
      <c r="J103" s="47" t="s">
        <v>42</v>
      </c>
      <c r="K103" s="47" t="s">
        <v>114</v>
      </c>
      <c r="L103" s="47" t="s">
        <v>115</v>
      </c>
      <c r="M103" s="47" t="s">
        <v>14</v>
      </c>
      <c r="N103" s="47" t="s">
        <v>101</v>
      </c>
      <c r="O103" s="70">
        <v>46230</v>
      </c>
      <c r="P103" s="47"/>
      <c r="Q103" s="47"/>
      <c r="R103" s="47"/>
      <c r="S103" s="47" t="s">
        <v>175</v>
      </c>
      <c r="T103" s="70">
        <v>46230</v>
      </c>
      <c r="U103" s="47" t="s">
        <v>317</v>
      </c>
      <c r="V103" s="47" t="s">
        <v>177</v>
      </c>
      <c r="W103" s="47" t="s">
        <v>178</v>
      </c>
    </row>
    <row r="104" spans="1:23" ht="23.25" customHeight="1" x14ac:dyDescent="0.25">
      <c r="A104" s="47">
        <v>99</v>
      </c>
      <c r="B104" s="47" t="s">
        <v>314</v>
      </c>
      <c r="C104" s="47" t="s">
        <v>333</v>
      </c>
      <c r="D104" s="47" t="s">
        <v>334</v>
      </c>
      <c r="E104" s="47" t="s">
        <v>193</v>
      </c>
      <c r="F104" s="47" t="str">
        <f t="shared" si="4"/>
        <v>EZEQUIL TANOLA TAWIDE</v>
      </c>
      <c r="G104" s="47"/>
      <c r="H104" s="70"/>
      <c r="I104" s="47" t="str">
        <f t="shared" ca="1" si="5"/>
        <v/>
      </c>
      <c r="J104" s="47" t="s">
        <v>42</v>
      </c>
      <c r="K104" s="47" t="s">
        <v>114</v>
      </c>
      <c r="L104" s="47" t="s">
        <v>115</v>
      </c>
      <c r="M104" s="47" t="s">
        <v>14</v>
      </c>
      <c r="N104" s="47" t="s">
        <v>101</v>
      </c>
      <c r="O104" s="70">
        <v>46230</v>
      </c>
      <c r="P104" s="47"/>
      <c r="Q104" s="47"/>
      <c r="R104" s="47"/>
      <c r="S104" s="47" t="s">
        <v>175</v>
      </c>
      <c r="T104" s="70">
        <v>46230</v>
      </c>
      <c r="U104" s="47" t="s">
        <v>317</v>
      </c>
      <c r="V104" s="47" t="s">
        <v>177</v>
      </c>
      <c r="W104" s="47" t="s">
        <v>178</v>
      </c>
    </row>
    <row r="105" spans="1:23" ht="23.25" customHeight="1" x14ac:dyDescent="0.25">
      <c r="A105" s="47">
        <v>100</v>
      </c>
      <c r="B105" s="47" t="s">
        <v>314</v>
      </c>
      <c r="C105" s="47" t="s">
        <v>335</v>
      </c>
      <c r="D105" s="47" t="s">
        <v>336</v>
      </c>
      <c r="E105" s="47" t="s">
        <v>337</v>
      </c>
      <c r="F105" s="47" t="str">
        <f t="shared" si="4"/>
        <v>JAYBERT BAGUNA TABURADA</v>
      </c>
      <c r="G105" s="47"/>
      <c r="H105" s="70"/>
      <c r="I105" s="47" t="str">
        <f t="shared" ca="1" si="5"/>
        <v/>
      </c>
      <c r="J105" s="47" t="s">
        <v>42</v>
      </c>
      <c r="K105" s="47" t="s">
        <v>114</v>
      </c>
      <c r="L105" s="47" t="s">
        <v>115</v>
      </c>
      <c r="M105" s="47" t="s">
        <v>14</v>
      </c>
      <c r="N105" s="47" t="s">
        <v>101</v>
      </c>
      <c r="O105" s="70">
        <v>46230</v>
      </c>
      <c r="P105" s="47"/>
      <c r="Q105" s="47"/>
      <c r="R105" s="47"/>
      <c r="S105" s="47" t="s">
        <v>175</v>
      </c>
      <c r="T105" s="70">
        <v>46230</v>
      </c>
      <c r="U105" s="47" t="s">
        <v>317</v>
      </c>
      <c r="V105" s="47" t="s">
        <v>177</v>
      </c>
      <c r="W105" s="47" t="s">
        <v>178</v>
      </c>
    </row>
    <row r="106" spans="1:23" ht="23.25" customHeight="1" x14ac:dyDescent="0.25">
      <c r="A106" s="47">
        <v>101</v>
      </c>
      <c r="B106" s="47" t="s">
        <v>314</v>
      </c>
      <c r="C106" s="47" t="s">
        <v>338</v>
      </c>
      <c r="D106" s="47" t="s">
        <v>339</v>
      </c>
      <c r="E106" s="47" t="s">
        <v>180</v>
      </c>
      <c r="F106" s="47" t="str">
        <f t="shared" si="4"/>
        <v>LAURENCE BAUTISTA TISMO</v>
      </c>
      <c r="G106" s="47"/>
      <c r="H106" s="70"/>
      <c r="I106" s="47" t="str">
        <f t="shared" ca="1" si="5"/>
        <v/>
      </c>
      <c r="J106" s="47" t="s">
        <v>42</v>
      </c>
      <c r="K106" s="47" t="s">
        <v>114</v>
      </c>
      <c r="L106" s="47" t="s">
        <v>115</v>
      </c>
      <c r="M106" s="47" t="s">
        <v>14</v>
      </c>
      <c r="N106" s="47" t="s">
        <v>101</v>
      </c>
      <c r="O106" s="70">
        <v>46230</v>
      </c>
      <c r="P106" s="47"/>
      <c r="Q106" s="47"/>
      <c r="R106" s="47"/>
      <c r="S106" s="47" t="s">
        <v>175</v>
      </c>
      <c r="T106" s="70">
        <v>46230</v>
      </c>
      <c r="U106" s="47" t="s">
        <v>317</v>
      </c>
      <c r="V106" s="47" t="s">
        <v>177</v>
      </c>
      <c r="W106" s="47" t="s">
        <v>178</v>
      </c>
    </row>
    <row r="107" spans="1:23" ht="23.25" customHeight="1" x14ac:dyDescent="0.25">
      <c r="A107" s="47">
        <v>102</v>
      </c>
      <c r="B107" s="47" t="s">
        <v>314</v>
      </c>
      <c r="C107" s="47" t="s">
        <v>172</v>
      </c>
      <c r="D107" s="47" t="s">
        <v>340</v>
      </c>
      <c r="E107" s="47" t="s">
        <v>341</v>
      </c>
      <c r="F107" s="47" t="str">
        <f t="shared" si="4"/>
        <v>ROWENA FRANCISCO AKABO</v>
      </c>
      <c r="G107" s="47"/>
      <c r="H107" s="70"/>
      <c r="I107" s="47" t="str">
        <f t="shared" ca="1" si="5"/>
        <v/>
      </c>
      <c r="J107" s="47" t="s">
        <v>42</v>
      </c>
      <c r="K107" s="47" t="s">
        <v>114</v>
      </c>
      <c r="L107" s="47" t="s">
        <v>115</v>
      </c>
      <c r="M107" s="47" t="s">
        <v>14</v>
      </c>
      <c r="N107" s="47" t="s">
        <v>101</v>
      </c>
      <c r="O107" s="70">
        <v>46230</v>
      </c>
      <c r="P107" s="47"/>
      <c r="Q107" s="47"/>
      <c r="R107" s="47"/>
      <c r="S107" s="47" t="s">
        <v>175</v>
      </c>
      <c r="T107" s="70">
        <v>46230</v>
      </c>
      <c r="U107" s="47" t="s">
        <v>317</v>
      </c>
      <c r="V107" s="47" t="s">
        <v>177</v>
      </c>
      <c r="W107" s="47" t="s">
        <v>178</v>
      </c>
    </row>
    <row r="108" spans="1:23" ht="23.25" customHeight="1" x14ac:dyDescent="0.25">
      <c r="A108" s="47">
        <v>103</v>
      </c>
      <c r="B108" s="47" t="s">
        <v>314</v>
      </c>
      <c r="C108" s="47" t="s">
        <v>342</v>
      </c>
      <c r="D108" s="47" t="s">
        <v>343</v>
      </c>
      <c r="E108" s="47" t="s">
        <v>187</v>
      </c>
      <c r="F108" s="47" t="str">
        <f t="shared" si="4"/>
        <v>DIAN LOGRONIO BADA</v>
      </c>
      <c r="G108" s="47"/>
      <c r="H108" s="70"/>
      <c r="I108" s="47" t="str">
        <f t="shared" ca="1" si="5"/>
        <v/>
      </c>
      <c r="J108" s="47" t="s">
        <v>42</v>
      </c>
      <c r="K108" s="47" t="s">
        <v>114</v>
      </c>
      <c r="L108" s="47" t="s">
        <v>115</v>
      </c>
      <c r="M108" s="47" t="s">
        <v>14</v>
      </c>
      <c r="N108" s="47" t="s">
        <v>101</v>
      </c>
      <c r="O108" s="70">
        <v>46230</v>
      </c>
      <c r="P108" s="47"/>
      <c r="Q108" s="47"/>
      <c r="R108" s="47"/>
      <c r="S108" s="47" t="s">
        <v>175</v>
      </c>
      <c r="T108" s="70">
        <v>46230</v>
      </c>
      <c r="U108" s="47" t="s">
        <v>317</v>
      </c>
      <c r="V108" s="47" t="s">
        <v>177</v>
      </c>
      <c r="W108" s="47" t="s">
        <v>178</v>
      </c>
    </row>
    <row r="109" spans="1:23" ht="23.25" customHeight="1" x14ac:dyDescent="0.25">
      <c r="A109" s="47">
        <v>104</v>
      </c>
      <c r="B109" s="47" t="s">
        <v>314</v>
      </c>
      <c r="C109" s="47" t="s">
        <v>344</v>
      </c>
      <c r="D109" s="47" t="s">
        <v>345</v>
      </c>
      <c r="E109" s="47" t="s">
        <v>193</v>
      </c>
      <c r="F109" s="47" t="str">
        <f t="shared" si="4"/>
        <v>JENECAH TANOLA ORJA</v>
      </c>
      <c r="G109" s="47"/>
      <c r="H109" s="70"/>
      <c r="I109" s="47" t="str">
        <f t="shared" ca="1" si="5"/>
        <v/>
      </c>
      <c r="J109" s="47" t="s">
        <v>42</v>
      </c>
      <c r="K109" s="47" t="s">
        <v>114</v>
      </c>
      <c r="L109" s="47" t="s">
        <v>115</v>
      </c>
      <c r="M109" s="47" t="s">
        <v>14</v>
      </c>
      <c r="N109" s="47" t="s">
        <v>101</v>
      </c>
      <c r="O109" s="70">
        <v>46230</v>
      </c>
      <c r="P109" s="47"/>
      <c r="Q109" s="47"/>
      <c r="R109" s="47"/>
      <c r="S109" s="47" t="s">
        <v>175</v>
      </c>
      <c r="T109" s="70">
        <v>46230</v>
      </c>
      <c r="U109" s="47" t="s">
        <v>317</v>
      </c>
      <c r="V109" s="47" t="s">
        <v>177</v>
      </c>
      <c r="W109" s="47" t="s">
        <v>178</v>
      </c>
    </row>
    <row r="110" spans="1:23" ht="23.25" customHeight="1" x14ac:dyDescent="0.25">
      <c r="A110" s="47">
        <v>105</v>
      </c>
      <c r="B110" s="47" t="s">
        <v>314</v>
      </c>
      <c r="C110" s="47" t="s">
        <v>318</v>
      </c>
      <c r="D110" s="47" t="s">
        <v>346</v>
      </c>
      <c r="E110" s="47" t="s">
        <v>187</v>
      </c>
      <c r="F110" s="47" t="str">
        <f t="shared" si="4"/>
        <v>KEZIAH JANE LOGRONIO BUNDAN</v>
      </c>
      <c r="G110" s="47"/>
      <c r="H110" s="70"/>
      <c r="I110" s="47" t="str">
        <f t="shared" ca="1" si="5"/>
        <v/>
      </c>
      <c r="J110" s="47" t="s">
        <v>42</v>
      </c>
      <c r="K110" s="47" t="s">
        <v>114</v>
      </c>
      <c r="L110" s="47" t="s">
        <v>115</v>
      </c>
      <c r="M110" s="47" t="s">
        <v>14</v>
      </c>
      <c r="N110" s="47" t="s">
        <v>101</v>
      </c>
      <c r="O110" s="70">
        <v>46230</v>
      </c>
      <c r="P110" s="47"/>
      <c r="Q110" s="47"/>
      <c r="R110" s="47"/>
      <c r="S110" s="47" t="s">
        <v>175</v>
      </c>
      <c r="T110" s="70">
        <v>46230</v>
      </c>
      <c r="U110" s="47" t="s">
        <v>317</v>
      </c>
      <c r="V110" s="47" t="s">
        <v>177</v>
      </c>
      <c r="W110" s="47" t="s">
        <v>178</v>
      </c>
    </row>
    <row r="111" spans="1:23" ht="23.25" customHeight="1" x14ac:dyDescent="0.25">
      <c r="A111" s="47">
        <v>106</v>
      </c>
      <c r="B111" s="47" t="s">
        <v>314</v>
      </c>
      <c r="C111" s="47" t="s">
        <v>347</v>
      </c>
      <c r="D111" s="47" t="s">
        <v>348</v>
      </c>
      <c r="E111" s="47"/>
      <c r="F111" s="47" t="str">
        <f t="shared" si="4"/>
        <v>JAHARA BUSLATAN</v>
      </c>
      <c r="G111" s="47"/>
      <c r="H111" s="70"/>
      <c r="I111" s="47" t="str">
        <f t="shared" ca="1" si="5"/>
        <v/>
      </c>
      <c r="J111" s="47" t="s">
        <v>42</v>
      </c>
      <c r="K111" s="47" t="s">
        <v>114</v>
      </c>
      <c r="L111" s="47" t="s">
        <v>115</v>
      </c>
      <c r="M111" s="47" t="s">
        <v>14</v>
      </c>
      <c r="N111" s="47" t="s">
        <v>101</v>
      </c>
      <c r="O111" s="70">
        <v>46230</v>
      </c>
      <c r="P111" s="47"/>
      <c r="Q111" s="47"/>
      <c r="R111" s="47"/>
      <c r="S111" s="47" t="s">
        <v>175</v>
      </c>
      <c r="T111" s="70">
        <v>46230</v>
      </c>
      <c r="U111" s="47" t="s">
        <v>317</v>
      </c>
      <c r="V111" s="47" t="s">
        <v>177</v>
      </c>
      <c r="W111" s="47" t="s">
        <v>178</v>
      </c>
    </row>
    <row r="112" spans="1:23" ht="23.25" customHeight="1" x14ac:dyDescent="0.25">
      <c r="A112" s="47">
        <v>107</v>
      </c>
      <c r="B112" s="47" t="s">
        <v>314</v>
      </c>
      <c r="C112" s="47" t="s">
        <v>214</v>
      </c>
      <c r="D112" s="47" t="s">
        <v>349</v>
      </c>
      <c r="E112" s="47" t="s">
        <v>350</v>
      </c>
      <c r="F112" s="47" t="str">
        <f t="shared" si="4"/>
        <v>ARIAN RONQUILLO CAMAYLONGAN</v>
      </c>
      <c r="G112" s="47"/>
      <c r="H112" s="70"/>
      <c r="I112" s="47" t="str">
        <f t="shared" ca="1" si="5"/>
        <v/>
      </c>
      <c r="J112" s="47" t="s">
        <v>42</v>
      </c>
      <c r="K112" s="47" t="s">
        <v>114</v>
      </c>
      <c r="L112" s="47" t="s">
        <v>115</v>
      </c>
      <c r="M112" s="47" t="s">
        <v>14</v>
      </c>
      <c r="N112" s="47" t="s">
        <v>101</v>
      </c>
      <c r="O112" s="70">
        <v>46230</v>
      </c>
      <c r="P112" s="47"/>
      <c r="Q112" s="47"/>
      <c r="R112" s="47"/>
      <c r="S112" s="47" t="s">
        <v>175</v>
      </c>
      <c r="T112" s="70">
        <v>46230</v>
      </c>
      <c r="U112" s="47" t="s">
        <v>317</v>
      </c>
      <c r="V112" s="47" t="s">
        <v>177</v>
      </c>
      <c r="W112" s="47" t="s">
        <v>178</v>
      </c>
    </row>
    <row r="113" spans="1:23" ht="23.25" customHeight="1" x14ac:dyDescent="0.25">
      <c r="A113" s="47">
        <v>108</v>
      </c>
      <c r="B113" s="47" t="s">
        <v>314</v>
      </c>
      <c r="C113" s="47" t="s">
        <v>184</v>
      </c>
      <c r="D113" s="47" t="s">
        <v>351</v>
      </c>
      <c r="E113" s="47" t="s">
        <v>352</v>
      </c>
      <c r="F113" s="47" t="str">
        <f t="shared" si="4"/>
        <v>JAY-ANN OCAB LANANG</v>
      </c>
      <c r="G113" s="47"/>
      <c r="H113" s="70"/>
      <c r="I113" s="47" t="str">
        <f t="shared" ca="1" si="5"/>
        <v/>
      </c>
      <c r="J113" s="47" t="s">
        <v>42</v>
      </c>
      <c r="K113" s="47" t="s">
        <v>114</v>
      </c>
      <c r="L113" s="47" t="s">
        <v>115</v>
      </c>
      <c r="M113" s="47" t="s">
        <v>14</v>
      </c>
      <c r="N113" s="47" t="s">
        <v>101</v>
      </c>
      <c r="O113" s="70">
        <v>46230</v>
      </c>
      <c r="P113" s="47"/>
      <c r="Q113" s="47"/>
      <c r="R113" s="47"/>
      <c r="S113" s="47" t="s">
        <v>175</v>
      </c>
      <c r="T113" s="70">
        <v>46230</v>
      </c>
      <c r="U113" s="47" t="s">
        <v>317</v>
      </c>
      <c r="V113" s="47" t="s">
        <v>177</v>
      </c>
      <c r="W113" s="47" t="s">
        <v>178</v>
      </c>
    </row>
    <row r="114" spans="1:23" ht="23.25" customHeight="1" x14ac:dyDescent="0.25">
      <c r="A114" s="47">
        <v>109</v>
      </c>
      <c r="B114" s="47" t="s">
        <v>314</v>
      </c>
      <c r="C114" s="47" t="s">
        <v>187</v>
      </c>
      <c r="D114" s="47" t="s">
        <v>353</v>
      </c>
      <c r="E114" s="47" t="s">
        <v>354</v>
      </c>
      <c r="F114" s="47" t="str">
        <f t="shared" si="4"/>
        <v>PRINCESS MAE MONTERO LOGRONIO</v>
      </c>
      <c r="G114" s="47"/>
      <c r="H114" s="70"/>
      <c r="I114" s="47" t="str">
        <f t="shared" ca="1" si="5"/>
        <v/>
      </c>
      <c r="J114" s="47" t="s">
        <v>42</v>
      </c>
      <c r="K114" s="47" t="s">
        <v>114</v>
      </c>
      <c r="L114" s="47" t="s">
        <v>115</v>
      </c>
      <c r="M114" s="47" t="s">
        <v>14</v>
      </c>
      <c r="N114" s="47" t="s">
        <v>101</v>
      </c>
      <c r="O114" s="70">
        <v>46230</v>
      </c>
      <c r="P114" s="47"/>
      <c r="Q114" s="47"/>
      <c r="R114" s="47"/>
      <c r="S114" s="47" t="s">
        <v>175</v>
      </c>
      <c r="T114" s="70">
        <v>46230</v>
      </c>
      <c r="U114" s="47" t="s">
        <v>317</v>
      </c>
      <c r="V114" s="47" t="s">
        <v>177</v>
      </c>
      <c r="W114" s="47" t="s">
        <v>178</v>
      </c>
    </row>
    <row r="115" spans="1:23" ht="23.25" customHeight="1" x14ac:dyDescent="0.25">
      <c r="A115" s="47">
        <v>110</v>
      </c>
      <c r="B115" s="47" t="s">
        <v>314</v>
      </c>
      <c r="C115" s="47" t="s">
        <v>191</v>
      </c>
      <c r="D115" s="47" t="s">
        <v>355</v>
      </c>
      <c r="E115" s="47" t="s">
        <v>356</v>
      </c>
      <c r="F115" s="47" t="str">
        <f t="shared" si="4"/>
        <v>JANNABEL SALGADO TAÑOLA</v>
      </c>
      <c r="G115" s="47"/>
      <c r="H115" s="70"/>
      <c r="I115" s="47" t="str">
        <f t="shared" ca="1" si="5"/>
        <v/>
      </c>
      <c r="J115" s="47" t="s">
        <v>42</v>
      </c>
      <c r="K115" s="47" t="s">
        <v>114</v>
      </c>
      <c r="L115" s="47" t="s">
        <v>115</v>
      </c>
      <c r="M115" s="47" t="s">
        <v>14</v>
      </c>
      <c r="N115" s="47" t="s">
        <v>101</v>
      </c>
      <c r="O115" s="70">
        <v>46230</v>
      </c>
      <c r="P115" s="47"/>
      <c r="Q115" s="47"/>
      <c r="R115" s="47"/>
      <c r="S115" s="47" t="s">
        <v>175</v>
      </c>
      <c r="T115" s="70">
        <v>46230</v>
      </c>
      <c r="U115" s="47" t="s">
        <v>317</v>
      </c>
      <c r="V115" s="47" t="s">
        <v>177</v>
      </c>
      <c r="W115" s="47" t="s">
        <v>178</v>
      </c>
    </row>
    <row r="116" spans="1:23" ht="23.25" customHeight="1" x14ac:dyDescent="0.25">
      <c r="A116" s="47">
        <v>111</v>
      </c>
      <c r="B116" s="47" t="s">
        <v>314</v>
      </c>
      <c r="C116" s="47" t="s">
        <v>191</v>
      </c>
      <c r="D116" s="47" t="s">
        <v>357</v>
      </c>
      <c r="E116" s="47" t="s">
        <v>358</v>
      </c>
      <c r="F116" s="47" t="str">
        <f t="shared" si="4"/>
        <v>JERLYN LLANO TAÑOLA</v>
      </c>
      <c r="G116" s="47"/>
      <c r="H116" s="70"/>
      <c r="I116" s="47" t="str">
        <f t="shared" ca="1" si="5"/>
        <v/>
      </c>
      <c r="J116" s="47" t="s">
        <v>42</v>
      </c>
      <c r="K116" s="47" t="s">
        <v>114</v>
      </c>
      <c r="L116" s="47" t="s">
        <v>115</v>
      </c>
      <c r="M116" s="47" t="s">
        <v>14</v>
      </c>
      <c r="N116" s="47" t="s">
        <v>101</v>
      </c>
      <c r="O116" s="70">
        <v>46230</v>
      </c>
      <c r="P116" s="47"/>
      <c r="Q116" s="47"/>
      <c r="R116" s="47"/>
      <c r="S116" s="47" t="s">
        <v>175</v>
      </c>
      <c r="T116" s="70">
        <v>46230</v>
      </c>
      <c r="U116" s="47" t="s">
        <v>317</v>
      </c>
      <c r="V116" s="47" t="s">
        <v>177</v>
      </c>
      <c r="W116" s="47" t="s">
        <v>178</v>
      </c>
    </row>
    <row r="117" spans="1:23" ht="23.25" customHeight="1" x14ac:dyDescent="0.25">
      <c r="A117" s="47">
        <v>112</v>
      </c>
      <c r="B117" s="47" t="s">
        <v>314</v>
      </c>
      <c r="C117" s="47" t="s">
        <v>359</v>
      </c>
      <c r="D117" s="47" t="s">
        <v>360</v>
      </c>
      <c r="E117" s="47" t="s">
        <v>189</v>
      </c>
      <c r="F117" s="47" t="str">
        <f t="shared" si="4"/>
        <v>RICKA RIVAS TUMOPAS</v>
      </c>
      <c r="G117" s="47"/>
      <c r="H117" s="70"/>
      <c r="I117" s="47" t="str">
        <f t="shared" ca="1" si="5"/>
        <v/>
      </c>
      <c r="J117" s="47" t="s">
        <v>42</v>
      </c>
      <c r="K117" s="47" t="s">
        <v>114</v>
      </c>
      <c r="L117" s="47" t="s">
        <v>115</v>
      </c>
      <c r="M117" s="47" t="s">
        <v>14</v>
      </c>
      <c r="N117" s="47" t="s">
        <v>101</v>
      </c>
      <c r="O117" s="70">
        <v>46230</v>
      </c>
      <c r="P117" s="47"/>
      <c r="Q117" s="47"/>
      <c r="R117" s="47"/>
      <c r="S117" s="47" t="s">
        <v>175</v>
      </c>
      <c r="T117" s="70">
        <v>46230</v>
      </c>
      <c r="U117" s="47" t="s">
        <v>317</v>
      </c>
      <c r="V117" s="47" t="s">
        <v>177</v>
      </c>
      <c r="W117" s="47" t="s">
        <v>178</v>
      </c>
    </row>
    <row r="118" spans="1:23" ht="23.25" customHeight="1" x14ac:dyDescent="0.25">
      <c r="A118" s="47">
        <v>113</v>
      </c>
      <c r="B118" s="47" t="s">
        <v>361</v>
      </c>
      <c r="C118" s="47" t="s">
        <v>362</v>
      </c>
      <c r="D118" s="47" t="s">
        <v>363</v>
      </c>
      <c r="E118" s="47" t="s">
        <v>364</v>
      </c>
      <c r="F118" s="47" t="str">
        <f t="shared" si="4"/>
        <v>JAMES ANGOB ACEVEDO</v>
      </c>
      <c r="G118" s="47"/>
      <c r="H118" s="70"/>
      <c r="I118" s="47" t="str">
        <f t="shared" ca="1" si="5"/>
        <v/>
      </c>
      <c r="J118" s="47" t="s">
        <v>44</v>
      </c>
      <c r="K118" s="47" t="s">
        <v>116</v>
      </c>
      <c r="L118" s="47" t="s">
        <v>117</v>
      </c>
      <c r="M118" s="47" t="s">
        <v>14</v>
      </c>
      <c r="N118" s="47" t="s">
        <v>101</v>
      </c>
      <c r="O118" s="70">
        <v>46230</v>
      </c>
      <c r="P118" s="47"/>
      <c r="Q118" s="47"/>
      <c r="R118" s="47"/>
      <c r="S118" s="47" t="s">
        <v>175</v>
      </c>
      <c r="T118" s="70">
        <v>46230</v>
      </c>
      <c r="U118" s="47" t="s">
        <v>365</v>
      </c>
      <c r="V118" s="47" t="s">
        <v>177</v>
      </c>
      <c r="W118" s="47" t="s">
        <v>178</v>
      </c>
    </row>
    <row r="119" spans="1:23" ht="23.25" customHeight="1" x14ac:dyDescent="0.25">
      <c r="A119" s="47">
        <v>114</v>
      </c>
      <c r="B119" s="47" t="s">
        <v>361</v>
      </c>
      <c r="C119" s="47" t="s">
        <v>366</v>
      </c>
      <c r="D119" s="47" t="s">
        <v>367</v>
      </c>
      <c r="E119" s="47" t="s">
        <v>368</v>
      </c>
      <c r="F119" s="47" t="str">
        <f t="shared" si="4"/>
        <v>BONJOVIE BATAAN AGUPITAC</v>
      </c>
      <c r="G119" s="47"/>
      <c r="H119" s="70"/>
      <c r="I119" s="47" t="str">
        <f t="shared" ca="1" si="5"/>
        <v/>
      </c>
      <c r="J119" s="47" t="s">
        <v>44</v>
      </c>
      <c r="K119" s="47" t="s">
        <v>116</v>
      </c>
      <c r="L119" s="47" t="s">
        <v>117</v>
      </c>
      <c r="M119" s="47" t="s">
        <v>14</v>
      </c>
      <c r="N119" s="47" t="s">
        <v>101</v>
      </c>
      <c r="O119" s="70">
        <v>46230</v>
      </c>
      <c r="P119" s="47"/>
      <c r="Q119" s="47"/>
      <c r="R119" s="47"/>
      <c r="S119" s="47" t="s">
        <v>175</v>
      </c>
      <c r="T119" s="70">
        <v>46230</v>
      </c>
      <c r="U119" s="47" t="s">
        <v>365</v>
      </c>
      <c r="V119" s="47" t="s">
        <v>177</v>
      </c>
      <c r="W119" s="47" t="s">
        <v>178</v>
      </c>
    </row>
    <row r="120" spans="1:23" ht="23.25" customHeight="1" x14ac:dyDescent="0.25">
      <c r="A120" s="47">
        <v>115</v>
      </c>
      <c r="B120" s="47" t="s">
        <v>361</v>
      </c>
      <c r="C120" s="47" t="s">
        <v>199</v>
      </c>
      <c r="D120" s="47" t="s">
        <v>369</v>
      </c>
      <c r="E120" s="47"/>
      <c r="F120" s="47" t="str">
        <f t="shared" si="4"/>
        <v>SONNY BOY CORVERA DEDASE</v>
      </c>
      <c r="G120" s="47"/>
      <c r="H120" s="70"/>
      <c r="I120" s="47" t="str">
        <f t="shared" ca="1" si="5"/>
        <v/>
      </c>
      <c r="J120" s="47" t="s">
        <v>44</v>
      </c>
      <c r="K120" s="47" t="s">
        <v>116</v>
      </c>
      <c r="L120" s="47" t="s">
        <v>117</v>
      </c>
      <c r="M120" s="47" t="s">
        <v>14</v>
      </c>
      <c r="N120" s="47" t="s">
        <v>101</v>
      </c>
      <c r="O120" s="70">
        <v>46230</v>
      </c>
      <c r="P120" s="47"/>
      <c r="Q120" s="47"/>
      <c r="R120" s="47"/>
      <c r="S120" s="47" t="s">
        <v>175</v>
      </c>
      <c r="T120" s="70">
        <v>46230</v>
      </c>
      <c r="U120" s="47" t="s">
        <v>365</v>
      </c>
      <c r="V120" s="47" t="s">
        <v>177</v>
      </c>
      <c r="W120" s="47" t="s">
        <v>178</v>
      </c>
    </row>
    <row r="121" spans="1:23" ht="23.25" customHeight="1" x14ac:dyDescent="0.25">
      <c r="A121" s="47">
        <v>116</v>
      </c>
      <c r="B121" s="47" t="s">
        <v>361</v>
      </c>
      <c r="C121" s="47" t="s">
        <v>370</v>
      </c>
      <c r="D121" s="47" t="s">
        <v>371</v>
      </c>
      <c r="E121" s="47" t="s">
        <v>372</v>
      </c>
      <c r="F121" s="47" t="str">
        <f t="shared" si="4"/>
        <v>BENJOMAR NERI ENGROVA</v>
      </c>
      <c r="G121" s="47"/>
      <c r="H121" s="70"/>
      <c r="I121" s="47" t="str">
        <f t="shared" ca="1" si="5"/>
        <v/>
      </c>
      <c r="J121" s="47" t="s">
        <v>44</v>
      </c>
      <c r="K121" s="47" t="s">
        <v>116</v>
      </c>
      <c r="L121" s="47" t="s">
        <v>117</v>
      </c>
      <c r="M121" s="47" t="s">
        <v>14</v>
      </c>
      <c r="N121" s="47" t="s">
        <v>101</v>
      </c>
      <c r="O121" s="70">
        <v>46230</v>
      </c>
      <c r="P121" s="47"/>
      <c r="Q121" s="47"/>
      <c r="R121" s="47"/>
      <c r="S121" s="47" t="s">
        <v>175</v>
      </c>
      <c r="T121" s="70">
        <v>46230</v>
      </c>
      <c r="U121" s="47" t="s">
        <v>365</v>
      </c>
      <c r="V121" s="47" t="s">
        <v>177</v>
      </c>
      <c r="W121" s="47" t="s">
        <v>178</v>
      </c>
    </row>
    <row r="122" spans="1:23" ht="23.25" customHeight="1" x14ac:dyDescent="0.25">
      <c r="A122" s="47">
        <v>117</v>
      </c>
      <c r="B122" s="47" t="s">
        <v>361</v>
      </c>
      <c r="C122" s="47" t="s">
        <v>373</v>
      </c>
      <c r="D122" s="47" t="s">
        <v>374</v>
      </c>
      <c r="E122" s="47" t="s">
        <v>375</v>
      </c>
      <c r="F122" s="47" t="str">
        <f t="shared" si="4"/>
        <v>JERLIE JOSOY HONTILLA</v>
      </c>
      <c r="G122" s="47"/>
      <c r="H122" s="70"/>
      <c r="I122" s="47" t="str">
        <f t="shared" ca="1" si="5"/>
        <v/>
      </c>
      <c r="J122" s="47" t="s">
        <v>44</v>
      </c>
      <c r="K122" s="47" t="s">
        <v>116</v>
      </c>
      <c r="L122" s="47" t="s">
        <v>117</v>
      </c>
      <c r="M122" s="47" t="s">
        <v>14</v>
      </c>
      <c r="N122" s="47" t="s">
        <v>101</v>
      </c>
      <c r="O122" s="70">
        <v>46230</v>
      </c>
      <c r="P122" s="47"/>
      <c r="Q122" s="47"/>
      <c r="R122" s="47"/>
      <c r="S122" s="47" t="s">
        <v>175</v>
      </c>
      <c r="T122" s="70">
        <v>46230</v>
      </c>
      <c r="U122" s="47" t="s">
        <v>365</v>
      </c>
      <c r="V122" s="47" t="s">
        <v>177</v>
      </c>
      <c r="W122" s="47" t="s">
        <v>178</v>
      </c>
    </row>
    <row r="123" spans="1:23" ht="23.25" customHeight="1" x14ac:dyDescent="0.25">
      <c r="A123" s="47">
        <v>118</v>
      </c>
      <c r="B123" s="47" t="s">
        <v>361</v>
      </c>
      <c r="C123" s="47" t="s">
        <v>329</v>
      </c>
      <c r="D123" s="47" t="s">
        <v>376</v>
      </c>
      <c r="E123" s="47" t="s">
        <v>377</v>
      </c>
      <c r="F123" s="47" t="str">
        <f t="shared" si="4"/>
        <v>MELJOHN SAMSON JUALO</v>
      </c>
      <c r="G123" s="47"/>
      <c r="H123" s="70"/>
      <c r="I123" s="47" t="str">
        <f t="shared" ca="1" si="5"/>
        <v/>
      </c>
      <c r="J123" s="47" t="s">
        <v>44</v>
      </c>
      <c r="K123" s="47" t="s">
        <v>116</v>
      </c>
      <c r="L123" s="47" t="s">
        <v>117</v>
      </c>
      <c r="M123" s="47" t="s">
        <v>14</v>
      </c>
      <c r="N123" s="47" t="s">
        <v>101</v>
      </c>
      <c r="O123" s="70">
        <v>46230</v>
      </c>
      <c r="P123" s="47"/>
      <c r="Q123" s="47"/>
      <c r="R123" s="47"/>
      <c r="S123" s="47" t="s">
        <v>175</v>
      </c>
      <c r="T123" s="70">
        <v>46230</v>
      </c>
      <c r="U123" s="47" t="s">
        <v>365</v>
      </c>
      <c r="V123" s="47" t="s">
        <v>177</v>
      </c>
      <c r="W123" s="47" t="s">
        <v>178</v>
      </c>
    </row>
    <row r="124" spans="1:23" ht="23.25" customHeight="1" x14ac:dyDescent="0.25">
      <c r="A124" s="47">
        <v>119</v>
      </c>
      <c r="B124" s="47" t="s">
        <v>361</v>
      </c>
      <c r="C124" s="47" t="s">
        <v>378</v>
      </c>
      <c r="D124" s="47" t="s">
        <v>379</v>
      </c>
      <c r="E124" s="47"/>
      <c r="F124" s="47" t="str">
        <f t="shared" si="4"/>
        <v>RONALD NIEGAS</v>
      </c>
      <c r="G124" s="47"/>
      <c r="H124" s="70"/>
      <c r="I124" s="47" t="str">
        <f t="shared" ca="1" si="5"/>
        <v/>
      </c>
      <c r="J124" s="47" t="s">
        <v>44</v>
      </c>
      <c r="K124" s="47" t="s">
        <v>116</v>
      </c>
      <c r="L124" s="47" t="s">
        <v>117</v>
      </c>
      <c r="M124" s="47" t="s">
        <v>14</v>
      </c>
      <c r="N124" s="47" t="s">
        <v>101</v>
      </c>
      <c r="O124" s="70">
        <v>46230</v>
      </c>
      <c r="P124" s="47"/>
      <c r="Q124" s="47"/>
      <c r="R124" s="47"/>
      <c r="S124" s="47" t="s">
        <v>175</v>
      </c>
      <c r="T124" s="70">
        <v>46230</v>
      </c>
      <c r="U124" s="47" t="s">
        <v>365</v>
      </c>
      <c r="V124" s="47" t="s">
        <v>177</v>
      </c>
      <c r="W124" s="47" t="s">
        <v>178</v>
      </c>
    </row>
    <row r="125" spans="1:23" ht="23.25" customHeight="1" x14ac:dyDescent="0.25">
      <c r="A125" s="47">
        <v>120</v>
      </c>
      <c r="B125" s="47" t="s">
        <v>361</v>
      </c>
      <c r="C125" s="47" t="s">
        <v>380</v>
      </c>
      <c r="D125" s="47" t="s">
        <v>381</v>
      </c>
      <c r="E125" s="47" t="s">
        <v>382</v>
      </c>
      <c r="F125" s="47" t="str">
        <f t="shared" si="4"/>
        <v>BEER PALAPAR VILLAMOR</v>
      </c>
      <c r="G125" s="47"/>
      <c r="H125" s="70"/>
      <c r="I125" s="47" t="str">
        <f t="shared" ca="1" si="5"/>
        <v/>
      </c>
      <c r="J125" s="47" t="s">
        <v>44</v>
      </c>
      <c r="K125" s="47" t="s">
        <v>116</v>
      </c>
      <c r="L125" s="47" t="s">
        <v>117</v>
      </c>
      <c r="M125" s="47" t="s">
        <v>14</v>
      </c>
      <c r="N125" s="47" t="s">
        <v>101</v>
      </c>
      <c r="O125" s="70">
        <v>46230</v>
      </c>
      <c r="P125" s="47"/>
      <c r="Q125" s="47"/>
      <c r="R125" s="47"/>
      <c r="S125" s="47" t="s">
        <v>175</v>
      </c>
      <c r="T125" s="70">
        <v>46230</v>
      </c>
      <c r="U125" s="47" t="s">
        <v>365</v>
      </c>
      <c r="V125" s="47" t="s">
        <v>177</v>
      </c>
      <c r="W125" s="47" t="s">
        <v>178</v>
      </c>
    </row>
    <row r="126" spans="1:23" ht="23.25" customHeight="1" x14ac:dyDescent="0.25">
      <c r="A126" s="47">
        <v>121</v>
      </c>
      <c r="B126" s="47" t="s">
        <v>361</v>
      </c>
      <c r="C126" s="47" t="s">
        <v>223</v>
      </c>
      <c r="D126" s="47" t="s">
        <v>383</v>
      </c>
      <c r="E126" s="47" t="s">
        <v>384</v>
      </c>
      <c r="F126" s="47" t="str">
        <f t="shared" si="4"/>
        <v>JAYRANZ RIZALDO VISCAYNO</v>
      </c>
      <c r="G126" s="47"/>
      <c r="H126" s="70"/>
      <c r="I126" s="47" t="str">
        <f t="shared" ca="1" si="5"/>
        <v/>
      </c>
      <c r="J126" s="47" t="s">
        <v>44</v>
      </c>
      <c r="K126" s="47" t="s">
        <v>116</v>
      </c>
      <c r="L126" s="47" t="s">
        <v>117</v>
      </c>
      <c r="M126" s="47" t="s">
        <v>14</v>
      </c>
      <c r="N126" s="47" t="s">
        <v>101</v>
      </c>
      <c r="O126" s="70">
        <v>46230</v>
      </c>
      <c r="P126" s="47"/>
      <c r="Q126" s="47"/>
      <c r="R126" s="47"/>
      <c r="S126" s="47" t="s">
        <v>175</v>
      </c>
      <c r="T126" s="70">
        <v>46230</v>
      </c>
      <c r="U126" s="47" t="s">
        <v>365</v>
      </c>
      <c r="V126" s="47" t="s">
        <v>177</v>
      </c>
      <c r="W126" s="47" t="s">
        <v>178</v>
      </c>
    </row>
    <row r="127" spans="1:23" ht="23.25" customHeight="1" x14ac:dyDescent="0.25">
      <c r="A127" s="47">
        <v>122</v>
      </c>
      <c r="B127" s="47" t="s">
        <v>361</v>
      </c>
      <c r="C127" s="47" t="s">
        <v>385</v>
      </c>
      <c r="D127" s="47" t="s">
        <v>386</v>
      </c>
      <c r="E127" s="47"/>
      <c r="F127" s="47" t="str">
        <f t="shared" si="4"/>
        <v>JENA JEN AVILA</v>
      </c>
      <c r="G127" s="47"/>
      <c r="H127" s="70"/>
      <c r="I127" s="47" t="str">
        <f t="shared" ca="1" si="5"/>
        <v/>
      </c>
      <c r="J127" s="47" t="s">
        <v>44</v>
      </c>
      <c r="K127" s="47" t="s">
        <v>116</v>
      </c>
      <c r="L127" s="47" t="s">
        <v>117</v>
      </c>
      <c r="M127" s="47" t="s">
        <v>14</v>
      </c>
      <c r="N127" s="47" t="s">
        <v>101</v>
      </c>
      <c r="O127" s="70">
        <v>46230</v>
      </c>
      <c r="P127" s="47"/>
      <c r="Q127" s="47"/>
      <c r="R127" s="47"/>
      <c r="S127" s="47" t="s">
        <v>175</v>
      </c>
      <c r="T127" s="70">
        <v>46230</v>
      </c>
      <c r="U127" s="47" t="s">
        <v>365</v>
      </c>
      <c r="V127" s="47" t="s">
        <v>177</v>
      </c>
      <c r="W127" s="47" t="s">
        <v>178</v>
      </c>
    </row>
    <row r="128" spans="1:23" ht="23.25" customHeight="1" x14ac:dyDescent="0.25">
      <c r="A128" s="47">
        <v>123</v>
      </c>
      <c r="B128" s="47" t="s">
        <v>361</v>
      </c>
      <c r="C128" s="47" t="s">
        <v>342</v>
      </c>
      <c r="D128" s="47" t="s">
        <v>387</v>
      </c>
      <c r="E128" s="47" t="s">
        <v>187</v>
      </c>
      <c r="F128" s="47" t="str">
        <f t="shared" si="4"/>
        <v>MARICEL LOGRONIO BADA</v>
      </c>
      <c r="G128" s="47"/>
      <c r="H128" s="70"/>
      <c r="I128" s="47" t="str">
        <f t="shared" ca="1" si="5"/>
        <v/>
      </c>
      <c r="J128" s="47" t="s">
        <v>44</v>
      </c>
      <c r="K128" s="47" t="s">
        <v>116</v>
      </c>
      <c r="L128" s="47" t="s">
        <v>117</v>
      </c>
      <c r="M128" s="47" t="s">
        <v>14</v>
      </c>
      <c r="N128" s="47" t="s">
        <v>101</v>
      </c>
      <c r="O128" s="70">
        <v>46230</v>
      </c>
      <c r="P128" s="47"/>
      <c r="Q128" s="47"/>
      <c r="R128" s="47"/>
      <c r="S128" s="47" t="s">
        <v>175</v>
      </c>
      <c r="T128" s="70">
        <v>46230</v>
      </c>
      <c r="U128" s="47" t="s">
        <v>365</v>
      </c>
      <c r="V128" s="47" t="s">
        <v>177</v>
      </c>
      <c r="W128" s="47" t="s">
        <v>178</v>
      </c>
    </row>
    <row r="129" spans="1:23" ht="23.25" customHeight="1" x14ac:dyDescent="0.25">
      <c r="A129" s="47">
        <v>124</v>
      </c>
      <c r="B129" s="47" t="s">
        <v>361</v>
      </c>
      <c r="C129" s="47" t="s">
        <v>368</v>
      </c>
      <c r="D129" s="47" t="s">
        <v>388</v>
      </c>
      <c r="E129" s="47" t="s">
        <v>234</v>
      </c>
      <c r="F129" s="47" t="str">
        <f t="shared" si="4"/>
        <v>EUJANE TOBIANO BATAAN</v>
      </c>
      <c r="G129" s="47"/>
      <c r="H129" s="70"/>
      <c r="I129" s="47" t="str">
        <f t="shared" ca="1" si="5"/>
        <v/>
      </c>
      <c r="J129" s="47" t="s">
        <v>44</v>
      </c>
      <c r="K129" s="47" t="s">
        <v>116</v>
      </c>
      <c r="L129" s="47" t="s">
        <v>117</v>
      </c>
      <c r="M129" s="47" t="s">
        <v>14</v>
      </c>
      <c r="N129" s="47" t="s">
        <v>101</v>
      </c>
      <c r="O129" s="70">
        <v>46230</v>
      </c>
      <c r="P129" s="47"/>
      <c r="Q129" s="47"/>
      <c r="R129" s="47"/>
      <c r="S129" s="47" t="s">
        <v>175</v>
      </c>
      <c r="T129" s="70">
        <v>46230</v>
      </c>
      <c r="U129" s="47" t="s">
        <v>365</v>
      </c>
      <c r="V129" s="47" t="s">
        <v>177</v>
      </c>
      <c r="W129" s="47" t="s">
        <v>178</v>
      </c>
    </row>
    <row r="130" spans="1:23" ht="23.25" customHeight="1" x14ac:dyDescent="0.25">
      <c r="A130" s="47">
        <v>125</v>
      </c>
      <c r="B130" s="47" t="s">
        <v>361</v>
      </c>
      <c r="C130" s="47" t="s">
        <v>214</v>
      </c>
      <c r="D130" s="47" t="s">
        <v>389</v>
      </c>
      <c r="E130" s="47" t="s">
        <v>350</v>
      </c>
      <c r="F130" s="47" t="str">
        <f t="shared" si="4"/>
        <v>ANGEL RONQUILLO CAMAYLONGAN</v>
      </c>
      <c r="G130" s="47"/>
      <c r="H130" s="70"/>
      <c r="I130" s="47" t="str">
        <f t="shared" ca="1" si="5"/>
        <v/>
      </c>
      <c r="J130" s="47" t="s">
        <v>44</v>
      </c>
      <c r="K130" s="47" t="s">
        <v>116</v>
      </c>
      <c r="L130" s="47" t="s">
        <v>117</v>
      </c>
      <c r="M130" s="47" t="s">
        <v>14</v>
      </c>
      <c r="N130" s="47" t="s">
        <v>101</v>
      </c>
      <c r="O130" s="70">
        <v>46230</v>
      </c>
      <c r="P130" s="47"/>
      <c r="Q130" s="47"/>
      <c r="R130" s="47"/>
      <c r="S130" s="47" t="s">
        <v>175</v>
      </c>
      <c r="T130" s="70">
        <v>46230</v>
      </c>
      <c r="U130" s="47" t="s">
        <v>365</v>
      </c>
      <c r="V130" s="47" t="s">
        <v>177</v>
      </c>
      <c r="W130" s="47" t="s">
        <v>178</v>
      </c>
    </row>
    <row r="131" spans="1:23" ht="23.25" customHeight="1" x14ac:dyDescent="0.25">
      <c r="A131" s="47">
        <v>126</v>
      </c>
      <c r="B131" s="47" t="s">
        <v>361</v>
      </c>
      <c r="C131" s="47" t="s">
        <v>214</v>
      </c>
      <c r="D131" s="47" t="s">
        <v>390</v>
      </c>
      <c r="E131" s="47" t="s">
        <v>391</v>
      </c>
      <c r="F131" s="47" t="str">
        <f t="shared" si="4"/>
        <v>CHRISTINE JOY DUBLAS CAMAYLONGAN</v>
      </c>
      <c r="G131" s="47"/>
      <c r="H131" s="70"/>
      <c r="I131" s="47" t="str">
        <f t="shared" ca="1" si="5"/>
        <v/>
      </c>
      <c r="J131" s="47" t="s">
        <v>44</v>
      </c>
      <c r="K131" s="47" t="s">
        <v>116</v>
      </c>
      <c r="L131" s="47" t="s">
        <v>117</v>
      </c>
      <c r="M131" s="47" t="s">
        <v>14</v>
      </c>
      <c r="N131" s="47" t="s">
        <v>101</v>
      </c>
      <c r="O131" s="70">
        <v>46230</v>
      </c>
      <c r="P131" s="47"/>
      <c r="Q131" s="47"/>
      <c r="R131" s="47"/>
      <c r="S131" s="47" t="s">
        <v>175</v>
      </c>
      <c r="T131" s="70">
        <v>46230</v>
      </c>
      <c r="U131" s="47" t="s">
        <v>365</v>
      </c>
      <c r="V131" s="47" t="s">
        <v>177</v>
      </c>
      <c r="W131" s="47" t="s">
        <v>178</v>
      </c>
    </row>
    <row r="132" spans="1:23" ht="23.25" customHeight="1" x14ac:dyDescent="0.25">
      <c r="A132" s="47">
        <v>127</v>
      </c>
      <c r="B132" s="47" t="s">
        <v>361</v>
      </c>
      <c r="C132" s="47" t="s">
        <v>214</v>
      </c>
      <c r="D132" s="47" t="s">
        <v>392</v>
      </c>
      <c r="E132" s="47" t="s">
        <v>393</v>
      </c>
      <c r="F132" s="47" t="str">
        <f t="shared" si="4"/>
        <v>JAIRAH BAGULOS CAMAYLONGAN</v>
      </c>
      <c r="G132" s="47"/>
      <c r="H132" s="70"/>
      <c r="I132" s="47" t="str">
        <f t="shared" ca="1" si="5"/>
        <v/>
      </c>
      <c r="J132" s="47" t="s">
        <v>44</v>
      </c>
      <c r="K132" s="47" t="s">
        <v>116</v>
      </c>
      <c r="L132" s="47" t="s">
        <v>117</v>
      </c>
      <c r="M132" s="47" t="s">
        <v>14</v>
      </c>
      <c r="N132" s="47" t="s">
        <v>101</v>
      </c>
      <c r="O132" s="70">
        <v>46230</v>
      </c>
      <c r="P132" s="47"/>
      <c r="Q132" s="47"/>
      <c r="R132" s="47"/>
      <c r="S132" s="47" t="s">
        <v>175</v>
      </c>
      <c r="T132" s="70">
        <v>46230</v>
      </c>
      <c r="U132" s="47" t="s">
        <v>365</v>
      </c>
      <c r="V132" s="47" t="s">
        <v>177</v>
      </c>
      <c r="W132" s="47" t="s">
        <v>178</v>
      </c>
    </row>
    <row r="133" spans="1:23" ht="23.25" customHeight="1" x14ac:dyDescent="0.25">
      <c r="A133" s="47">
        <v>128</v>
      </c>
      <c r="B133" s="47" t="s">
        <v>361</v>
      </c>
      <c r="C133" s="47" t="s">
        <v>214</v>
      </c>
      <c r="D133" s="47" t="s">
        <v>394</v>
      </c>
      <c r="E133" s="47" t="s">
        <v>393</v>
      </c>
      <c r="F133" s="47" t="str">
        <f t="shared" si="4"/>
        <v>JAMAICA BAGULOS CAMAYLONGAN</v>
      </c>
      <c r="G133" s="47"/>
      <c r="H133" s="70"/>
      <c r="I133" s="47" t="str">
        <f t="shared" ca="1" si="5"/>
        <v/>
      </c>
      <c r="J133" s="47" t="s">
        <v>44</v>
      </c>
      <c r="K133" s="47" t="s">
        <v>116</v>
      </c>
      <c r="L133" s="47" t="s">
        <v>117</v>
      </c>
      <c r="M133" s="47" t="s">
        <v>14</v>
      </c>
      <c r="N133" s="47" t="s">
        <v>101</v>
      </c>
      <c r="O133" s="70">
        <v>46230</v>
      </c>
      <c r="P133" s="47"/>
      <c r="Q133" s="47"/>
      <c r="R133" s="47"/>
      <c r="S133" s="47" t="s">
        <v>175</v>
      </c>
      <c r="T133" s="70">
        <v>46230</v>
      </c>
      <c r="U133" s="47" t="s">
        <v>365</v>
      </c>
      <c r="V133" s="47" t="s">
        <v>177</v>
      </c>
      <c r="W133" s="47" t="s">
        <v>178</v>
      </c>
    </row>
    <row r="134" spans="1:23" ht="23.25" customHeight="1" x14ac:dyDescent="0.25">
      <c r="A134" s="47">
        <v>129</v>
      </c>
      <c r="B134" s="47" t="s">
        <v>361</v>
      </c>
      <c r="C134" s="47" t="s">
        <v>214</v>
      </c>
      <c r="D134" s="47" t="s">
        <v>395</v>
      </c>
      <c r="E134" s="47" t="s">
        <v>396</v>
      </c>
      <c r="F134" s="47" t="str">
        <f t="shared" ref="F134:F197" si="6">TRIM(D134&amp;" "&amp;E134&amp;" "&amp;C134)</f>
        <v>LHEA DAGNO CAMAYLONGAN</v>
      </c>
      <c r="G134" s="47"/>
      <c r="H134" s="70"/>
      <c r="I134" s="47" t="str">
        <f t="shared" ref="I134:I197" ca="1" si="7">IF(H134="","",DATEDIF(H134,TODAY(),"Y"))</f>
        <v/>
      </c>
      <c r="J134" s="47" t="s">
        <v>44</v>
      </c>
      <c r="K134" s="47" t="s">
        <v>116</v>
      </c>
      <c r="L134" s="47" t="s">
        <v>117</v>
      </c>
      <c r="M134" s="47" t="s">
        <v>14</v>
      </c>
      <c r="N134" s="47" t="s">
        <v>101</v>
      </c>
      <c r="O134" s="70">
        <v>46230</v>
      </c>
      <c r="P134" s="47"/>
      <c r="Q134" s="47"/>
      <c r="R134" s="47"/>
      <c r="S134" s="47" t="s">
        <v>175</v>
      </c>
      <c r="T134" s="70">
        <v>46230</v>
      </c>
      <c r="U134" s="47" t="s">
        <v>365</v>
      </c>
      <c r="V134" s="47" t="s">
        <v>177</v>
      </c>
      <c r="W134" s="47" t="s">
        <v>178</v>
      </c>
    </row>
    <row r="135" spans="1:23" ht="23.25" customHeight="1" x14ac:dyDescent="0.25">
      <c r="A135" s="47">
        <v>130</v>
      </c>
      <c r="B135" s="47" t="s">
        <v>361</v>
      </c>
      <c r="C135" s="47" t="s">
        <v>397</v>
      </c>
      <c r="D135" s="47" t="s">
        <v>398</v>
      </c>
      <c r="E135" s="47" t="s">
        <v>399</v>
      </c>
      <c r="F135" s="47" t="str">
        <f t="shared" si="6"/>
        <v>VEMBERLY OTERO CONSAD</v>
      </c>
      <c r="G135" s="47"/>
      <c r="H135" s="70"/>
      <c r="I135" s="47" t="str">
        <f t="shared" ca="1" si="7"/>
        <v/>
      </c>
      <c r="J135" s="47" t="s">
        <v>44</v>
      </c>
      <c r="K135" s="47" t="s">
        <v>116</v>
      </c>
      <c r="L135" s="47" t="s">
        <v>117</v>
      </c>
      <c r="M135" s="47" t="s">
        <v>14</v>
      </c>
      <c r="N135" s="47" t="s">
        <v>101</v>
      </c>
      <c r="O135" s="70">
        <v>46230</v>
      </c>
      <c r="P135" s="47"/>
      <c r="Q135" s="47"/>
      <c r="R135" s="47"/>
      <c r="S135" s="47" t="s">
        <v>175</v>
      </c>
      <c r="T135" s="70">
        <v>46230</v>
      </c>
      <c r="U135" s="47" t="s">
        <v>365</v>
      </c>
      <c r="V135" s="47" t="s">
        <v>177</v>
      </c>
      <c r="W135" s="47" t="s">
        <v>178</v>
      </c>
    </row>
    <row r="136" spans="1:23" ht="15" customHeight="1" x14ac:dyDescent="0.25">
      <c r="A136" s="47">
        <v>131</v>
      </c>
      <c r="B136" s="47" t="s">
        <v>361</v>
      </c>
      <c r="C136" s="47" t="s">
        <v>370</v>
      </c>
      <c r="D136" s="47" t="s">
        <v>400</v>
      </c>
      <c r="E136" s="47" t="s">
        <v>372</v>
      </c>
      <c r="F136" s="47" t="str">
        <f t="shared" si="6"/>
        <v>JENELYN NERI ENGROVA</v>
      </c>
      <c r="G136" s="47"/>
      <c r="H136" s="70"/>
      <c r="I136" s="47" t="str">
        <f t="shared" ca="1" si="7"/>
        <v/>
      </c>
      <c r="J136" s="47" t="s">
        <v>44</v>
      </c>
      <c r="K136" s="47" t="s">
        <v>116</v>
      </c>
      <c r="L136" s="47" t="s">
        <v>117</v>
      </c>
      <c r="M136" s="47" t="s">
        <v>14</v>
      </c>
      <c r="N136" s="47" t="s">
        <v>101</v>
      </c>
      <c r="O136" s="70">
        <v>46230</v>
      </c>
      <c r="P136" s="47"/>
      <c r="Q136" s="47"/>
      <c r="R136" s="47"/>
      <c r="S136" s="47" t="s">
        <v>175</v>
      </c>
      <c r="T136" s="70">
        <v>46230</v>
      </c>
      <c r="U136" s="47" t="s">
        <v>365</v>
      </c>
      <c r="V136" s="47" t="s">
        <v>177</v>
      </c>
      <c r="W136" s="47" t="s">
        <v>178</v>
      </c>
    </row>
    <row r="137" spans="1:23" ht="15" customHeight="1" x14ac:dyDescent="0.25">
      <c r="A137" s="47">
        <v>132</v>
      </c>
      <c r="B137" s="47" t="s">
        <v>401</v>
      </c>
      <c r="C137" s="47" t="s">
        <v>323</v>
      </c>
      <c r="D137" s="47" t="s">
        <v>402</v>
      </c>
      <c r="E137" s="47" t="s">
        <v>403</v>
      </c>
      <c r="F137" s="47" t="str">
        <f t="shared" si="6"/>
        <v>ROVELYN SIBOGAN ESTRELLA</v>
      </c>
      <c r="G137" s="47"/>
      <c r="H137" s="70"/>
      <c r="I137" s="47" t="str">
        <f t="shared" ca="1" si="7"/>
        <v/>
      </c>
      <c r="J137" s="47" t="s">
        <v>44</v>
      </c>
      <c r="K137" s="47" t="s">
        <v>116</v>
      </c>
      <c r="L137" s="47" t="s">
        <v>117</v>
      </c>
      <c r="M137" s="47" t="s">
        <v>14</v>
      </c>
      <c r="N137" s="47" t="s">
        <v>101</v>
      </c>
      <c r="O137" s="70">
        <v>46230</v>
      </c>
      <c r="P137" s="47"/>
      <c r="Q137" s="47"/>
      <c r="R137" s="47"/>
      <c r="S137" s="47" t="s">
        <v>175</v>
      </c>
      <c r="T137" s="70">
        <v>46230</v>
      </c>
      <c r="U137" s="47" t="s">
        <v>365</v>
      </c>
      <c r="V137" s="47" t="s">
        <v>177</v>
      </c>
      <c r="W137" s="47" t="s">
        <v>178</v>
      </c>
    </row>
    <row r="138" spans="1:23" ht="15" customHeight="1" x14ac:dyDescent="0.25">
      <c r="A138" s="47">
        <v>133</v>
      </c>
      <c r="B138" s="47" t="s">
        <v>404</v>
      </c>
      <c r="C138" s="47" t="s">
        <v>405</v>
      </c>
      <c r="D138" s="47" t="s">
        <v>406</v>
      </c>
      <c r="E138" s="47" t="s">
        <v>335</v>
      </c>
      <c r="F138" s="47" t="str">
        <f t="shared" si="6"/>
        <v>CRISTAL JADE TABURADA GOLORAN</v>
      </c>
      <c r="G138" s="47"/>
      <c r="H138" s="70"/>
      <c r="I138" s="47" t="str">
        <f t="shared" ca="1" si="7"/>
        <v/>
      </c>
      <c r="J138" s="47" t="s">
        <v>44</v>
      </c>
      <c r="K138" s="47" t="s">
        <v>116</v>
      </c>
      <c r="L138" s="47" t="s">
        <v>117</v>
      </c>
      <c r="M138" s="47" t="s">
        <v>14</v>
      </c>
      <c r="N138" s="47" t="s">
        <v>101</v>
      </c>
      <c r="O138" s="70">
        <v>46230</v>
      </c>
      <c r="P138" s="47"/>
      <c r="Q138" s="47"/>
      <c r="R138" s="47"/>
      <c r="S138" s="47" t="s">
        <v>175</v>
      </c>
      <c r="T138" s="70">
        <v>46230</v>
      </c>
      <c r="U138" s="47" t="s">
        <v>365</v>
      </c>
      <c r="V138" s="47" t="s">
        <v>177</v>
      </c>
      <c r="W138" s="47" t="s">
        <v>178</v>
      </c>
    </row>
    <row r="139" spans="1:23" ht="15" customHeight="1" x14ac:dyDescent="0.25">
      <c r="A139" s="47">
        <v>134</v>
      </c>
      <c r="B139" s="47" t="s">
        <v>407</v>
      </c>
      <c r="C139" s="47" t="s">
        <v>408</v>
      </c>
      <c r="D139" s="47" t="s">
        <v>409</v>
      </c>
      <c r="E139" s="47" t="s">
        <v>329</v>
      </c>
      <c r="F139" s="47" t="str">
        <f t="shared" si="6"/>
        <v>NIÑA GRACE JUALO LAMELA</v>
      </c>
      <c r="G139" s="47"/>
      <c r="H139" s="70"/>
      <c r="I139" s="47" t="str">
        <f t="shared" ca="1" si="7"/>
        <v/>
      </c>
      <c r="J139" s="47" t="s">
        <v>44</v>
      </c>
      <c r="K139" s="47" t="s">
        <v>116</v>
      </c>
      <c r="L139" s="47" t="s">
        <v>117</v>
      </c>
      <c r="M139" s="47" t="s">
        <v>14</v>
      </c>
      <c r="N139" s="47" t="s">
        <v>101</v>
      </c>
      <c r="O139" s="70">
        <v>46230</v>
      </c>
      <c r="P139" s="47"/>
      <c r="Q139" s="47"/>
      <c r="R139" s="47"/>
      <c r="S139" s="47" t="s">
        <v>175</v>
      </c>
      <c r="T139" s="70">
        <v>46230</v>
      </c>
      <c r="U139" s="47" t="s">
        <v>365</v>
      </c>
      <c r="V139" s="47" t="s">
        <v>177</v>
      </c>
      <c r="W139" s="47" t="s">
        <v>178</v>
      </c>
    </row>
    <row r="140" spans="1:23" ht="15" customHeight="1" x14ac:dyDescent="0.25">
      <c r="A140" s="47">
        <v>135</v>
      </c>
      <c r="B140" s="47" t="s">
        <v>410</v>
      </c>
      <c r="C140" s="47" t="s">
        <v>184</v>
      </c>
      <c r="D140" s="47" t="s">
        <v>411</v>
      </c>
      <c r="E140" s="47" t="s">
        <v>342</v>
      </c>
      <c r="F140" s="47" t="str">
        <f t="shared" si="6"/>
        <v>ASHLEY BADA LANANG</v>
      </c>
      <c r="G140" s="47"/>
      <c r="H140" s="70"/>
      <c r="I140" s="47" t="str">
        <f t="shared" ca="1" si="7"/>
        <v/>
      </c>
      <c r="J140" s="47" t="s">
        <v>44</v>
      </c>
      <c r="K140" s="47" t="s">
        <v>116</v>
      </c>
      <c r="L140" s="47" t="s">
        <v>117</v>
      </c>
      <c r="M140" s="47" t="s">
        <v>14</v>
      </c>
      <c r="N140" s="47" t="s">
        <v>101</v>
      </c>
      <c r="O140" s="70">
        <v>46230</v>
      </c>
      <c r="P140" s="47"/>
      <c r="Q140" s="47"/>
      <c r="R140" s="47"/>
      <c r="S140" s="47" t="s">
        <v>175</v>
      </c>
      <c r="T140" s="70">
        <v>46230</v>
      </c>
      <c r="U140" s="47" t="s">
        <v>365</v>
      </c>
      <c r="V140" s="47" t="s">
        <v>177</v>
      </c>
      <c r="W140" s="47" t="s">
        <v>178</v>
      </c>
    </row>
    <row r="141" spans="1:23" ht="15" customHeight="1" x14ac:dyDescent="0.25">
      <c r="A141" s="47">
        <v>136</v>
      </c>
      <c r="B141" s="47" t="s">
        <v>412</v>
      </c>
      <c r="C141" s="47" t="s">
        <v>184</v>
      </c>
      <c r="D141" s="47" t="s">
        <v>413</v>
      </c>
      <c r="E141" s="47" t="s">
        <v>352</v>
      </c>
      <c r="F141" s="47" t="str">
        <f t="shared" si="6"/>
        <v>MARYCRIS OCAB LANANG</v>
      </c>
      <c r="G141" s="47"/>
      <c r="H141" s="70"/>
      <c r="I141" s="47" t="str">
        <f t="shared" ca="1" si="7"/>
        <v/>
      </c>
      <c r="J141" s="47" t="s">
        <v>44</v>
      </c>
      <c r="K141" s="47" t="s">
        <v>116</v>
      </c>
      <c r="L141" s="47" t="s">
        <v>117</v>
      </c>
      <c r="M141" s="47" t="s">
        <v>14</v>
      </c>
      <c r="N141" s="47" t="s">
        <v>101</v>
      </c>
      <c r="O141" s="70">
        <v>46230</v>
      </c>
      <c r="P141" s="47"/>
      <c r="Q141" s="47"/>
      <c r="R141" s="47"/>
      <c r="S141" s="47" t="s">
        <v>175</v>
      </c>
      <c r="T141" s="70">
        <v>46230</v>
      </c>
      <c r="U141" s="47" t="s">
        <v>365</v>
      </c>
      <c r="V141" s="47" t="s">
        <v>177</v>
      </c>
      <c r="W141" s="47" t="s">
        <v>178</v>
      </c>
    </row>
    <row r="142" spans="1:23" ht="15" customHeight="1" x14ac:dyDescent="0.25">
      <c r="A142" s="47">
        <v>137</v>
      </c>
      <c r="B142" s="47" t="s">
        <v>414</v>
      </c>
      <c r="C142" s="47" t="s">
        <v>187</v>
      </c>
      <c r="D142" s="47" t="s">
        <v>415</v>
      </c>
      <c r="E142" s="47" t="s">
        <v>385</v>
      </c>
      <c r="F142" s="47" t="str">
        <f t="shared" si="6"/>
        <v>ARINA AVILA LOGRONIO</v>
      </c>
      <c r="G142" s="47"/>
      <c r="H142" s="70"/>
      <c r="I142" s="47" t="str">
        <f t="shared" ca="1" si="7"/>
        <v/>
      </c>
      <c r="J142" s="47" t="s">
        <v>44</v>
      </c>
      <c r="K142" s="47" t="s">
        <v>116</v>
      </c>
      <c r="L142" s="47" t="s">
        <v>117</v>
      </c>
      <c r="M142" s="47" t="s">
        <v>14</v>
      </c>
      <c r="N142" s="47" t="s">
        <v>101</v>
      </c>
      <c r="O142" s="70">
        <v>46230</v>
      </c>
      <c r="P142" s="47"/>
      <c r="Q142" s="47"/>
      <c r="R142" s="47"/>
      <c r="S142" s="47" t="s">
        <v>175</v>
      </c>
      <c r="T142" s="70">
        <v>46230</v>
      </c>
      <c r="U142" s="47" t="s">
        <v>365</v>
      </c>
      <c r="V142" s="47" t="s">
        <v>177</v>
      </c>
      <c r="W142" s="47" t="s">
        <v>178</v>
      </c>
    </row>
    <row r="143" spans="1:23" ht="15" customHeight="1" x14ac:dyDescent="0.25">
      <c r="A143" s="47">
        <v>138</v>
      </c>
      <c r="B143" s="47" t="s">
        <v>416</v>
      </c>
      <c r="C143" s="47" t="s">
        <v>417</v>
      </c>
      <c r="D143" s="47" t="s">
        <v>418</v>
      </c>
      <c r="E143" s="47" t="s">
        <v>419</v>
      </c>
      <c r="F143" s="47" t="str">
        <f t="shared" si="6"/>
        <v>SHAIRA FAYE GONZALES MAGALLANO</v>
      </c>
      <c r="G143" s="47"/>
      <c r="H143" s="70"/>
      <c r="I143" s="47" t="str">
        <f t="shared" ca="1" si="7"/>
        <v/>
      </c>
      <c r="J143" s="47" t="s">
        <v>44</v>
      </c>
      <c r="K143" s="47" t="s">
        <v>116</v>
      </c>
      <c r="L143" s="47" t="s">
        <v>117</v>
      </c>
      <c r="M143" s="47" t="s">
        <v>14</v>
      </c>
      <c r="N143" s="47" t="s">
        <v>101</v>
      </c>
      <c r="O143" s="70">
        <v>46230</v>
      </c>
      <c r="P143" s="47"/>
      <c r="Q143" s="47"/>
      <c r="R143" s="47"/>
      <c r="S143" s="47" t="s">
        <v>175</v>
      </c>
      <c r="T143" s="70">
        <v>46230</v>
      </c>
      <c r="U143" s="47" t="s">
        <v>365</v>
      </c>
      <c r="V143" s="47" t="s">
        <v>177</v>
      </c>
      <c r="W143" s="47" t="s">
        <v>178</v>
      </c>
    </row>
    <row r="144" spans="1:23" ht="15" customHeight="1" x14ac:dyDescent="0.25">
      <c r="A144" s="47">
        <v>139</v>
      </c>
      <c r="B144" s="47" t="s">
        <v>420</v>
      </c>
      <c r="C144" s="47" t="s">
        <v>220</v>
      </c>
      <c r="D144" s="47" t="s">
        <v>421</v>
      </c>
      <c r="E144" s="47"/>
      <c r="F144" s="47" t="str">
        <f t="shared" si="6"/>
        <v>JELMARIE MONTILLA</v>
      </c>
      <c r="G144" s="47"/>
      <c r="H144" s="70"/>
      <c r="I144" s="47" t="str">
        <f t="shared" ca="1" si="7"/>
        <v/>
      </c>
      <c r="J144" s="47" t="s">
        <v>44</v>
      </c>
      <c r="K144" s="47" t="s">
        <v>116</v>
      </c>
      <c r="L144" s="47" t="s">
        <v>117</v>
      </c>
      <c r="M144" s="47" t="s">
        <v>14</v>
      </c>
      <c r="N144" s="47" t="s">
        <v>101</v>
      </c>
      <c r="O144" s="70">
        <v>46230</v>
      </c>
      <c r="P144" s="47"/>
      <c r="Q144" s="47"/>
      <c r="R144" s="47"/>
      <c r="S144" s="47" t="s">
        <v>175</v>
      </c>
      <c r="T144" s="70">
        <v>46230</v>
      </c>
      <c r="U144" s="47" t="s">
        <v>365</v>
      </c>
      <c r="V144" s="47" t="s">
        <v>177</v>
      </c>
      <c r="W144" s="47" t="s">
        <v>178</v>
      </c>
    </row>
    <row r="145" spans="1:23" ht="15" customHeight="1" x14ac:dyDescent="0.25">
      <c r="A145" s="47">
        <v>140</v>
      </c>
      <c r="B145" s="47" t="s">
        <v>422</v>
      </c>
      <c r="C145" s="47" t="s">
        <v>220</v>
      </c>
      <c r="D145" s="47" t="s">
        <v>423</v>
      </c>
      <c r="E145" s="47" t="s">
        <v>356</v>
      </c>
      <c r="F145" s="47" t="str">
        <f t="shared" si="6"/>
        <v>JONALYN SALGADO MONTILLA</v>
      </c>
      <c r="G145" s="47"/>
      <c r="H145" s="70"/>
      <c r="I145" s="47" t="str">
        <f t="shared" ca="1" si="7"/>
        <v/>
      </c>
      <c r="J145" s="47" t="s">
        <v>44</v>
      </c>
      <c r="K145" s="47" t="s">
        <v>116</v>
      </c>
      <c r="L145" s="47" t="s">
        <v>117</v>
      </c>
      <c r="M145" s="47" t="s">
        <v>14</v>
      </c>
      <c r="N145" s="47" t="s">
        <v>101</v>
      </c>
      <c r="O145" s="70">
        <v>46230</v>
      </c>
      <c r="P145" s="47"/>
      <c r="Q145" s="47"/>
      <c r="R145" s="47"/>
      <c r="S145" s="47" t="s">
        <v>175</v>
      </c>
      <c r="T145" s="70">
        <v>46230</v>
      </c>
      <c r="U145" s="47" t="s">
        <v>365</v>
      </c>
      <c r="V145" s="47" t="s">
        <v>177</v>
      </c>
      <c r="W145" s="47" t="s">
        <v>178</v>
      </c>
    </row>
    <row r="146" spans="1:23" ht="15" customHeight="1" x14ac:dyDescent="0.25">
      <c r="A146" s="47">
        <v>141</v>
      </c>
      <c r="B146" s="47" t="s">
        <v>424</v>
      </c>
      <c r="C146" s="47" t="s">
        <v>425</v>
      </c>
      <c r="D146" s="47" t="s">
        <v>426</v>
      </c>
      <c r="E146" s="47" t="s">
        <v>189</v>
      </c>
      <c r="F146" s="47" t="str">
        <f t="shared" si="6"/>
        <v>MAYJANE RIVAS RECTO</v>
      </c>
      <c r="G146" s="47"/>
      <c r="H146" s="70"/>
      <c r="I146" s="47" t="str">
        <f t="shared" ca="1" si="7"/>
        <v/>
      </c>
      <c r="J146" s="47" t="s">
        <v>44</v>
      </c>
      <c r="K146" s="47" t="s">
        <v>116</v>
      </c>
      <c r="L146" s="47" t="s">
        <v>117</v>
      </c>
      <c r="M146" s="47" t="s">
        <v>14</v>
      </c>
      <c r="N146" s="47" t="s">
        <v>101</v>
      </c>
      <c r="O146" s="70">
        <v>46230</v>
      </c>
      <c r="P146" s="47"/>
      <c r="Q146" s="47"/>
      <c r="R146" s="47"/>
      <c r="S146" s="47" t="s">
        <v>175</v>
      </c>
      <c r="T146" s="70">
        <v>46230</v>
      </c>
      <c r="U146" s="47" t="s">
        <v>365</v>
      </c>
      <c r="V146" s="47" t="s">
        <v>177</v>
      </c>
      <c r="W146" s="47" t="s">
        <v>178</v>
      </c>
    </row>
    <row r="147" spans="1:23" ht="15" customHeight="1" x14ac:dyDescent="0.25">
      <c r="A147" s="47">
        <v>142</v>
      </c>
      <c r="B147" s="47" t="s">
        <v>427</v>
      </c>
      <c r="C147" s="47" t="s">
        <v>189</v>
      </c>
      <c r="D147" s="47" t="s">
        <v>428</v>
      </c>
      <c r="E147" s="47" t="s">
        <v>385</v>
      </c>
      <c r="F147" s="47" t="str">
        <f t="shared" si="6"/>
        <v>ALYANA AVILA RIVAS</v>
      </c>
      <c r="G147" s="47"/>
      <c r="H147" s="70"/>
      <c r="I147" s="47" t="str">
        <f t="shared" ca="1" si="7"/>
        <v/>
      </c>
      <c r="J147" s="47" t="s">
        <v>44</v>
      </c>
      <c r="K147" s="47" t="s">
        <v>116</v>
      </c>
      <c r="L147" s="47" t="s">
        <v>117</v>
      </c>
      <c r="M147" s="47" t="s">
        <v>14</v>
      </c>
      <c r="N147" s="47" t="s">
        <v>101</v>
      </c>
      <c r="O147" s="70">
        <v>46230</v>
      </c>
      <c r="P147" s="47"/>
      <c r="Q147" s="47"/>
      <c r="R147" s="47"/>
      <c r="S147" s="47" t="s">
        <v>175</v>
      </c>
      <c r="T147" s="70">
        <v>46230</v>
      </c>
      <c r="U147" s="47" t="s">
        <v>365</v>
      </c>
      <c r="V147" s="47" t="s">
        <v>177</v>
      </c>
      <c r="W147" s="47" t="s">
        <v>178</v>
      </c>
    </row>
    <row r="148" spans="1:23" ht="15" customHeight="1" x14ac:dyDescent="0.25">
      <c r="A148" s="47">
        <v>143</v>
      </c>
      <c r="B148" s="47" t="s">
        <v>429</v>
      </c>
      <c r="C148" s="47" t="s">
        <v>191</v>
      </c>
      <c r="D148" s="47" t="s">
        <v>430</v>
      </c>
      <c r="E148" s="47" t="s">
        <v>356</v>
      </c>
      <c r="F148" s="47" t="str">
        <f t="shared" si="6"/>
        <v>JANAMAE SALGADO TAÑOLA</v>
      </c>
      <c r="G148" s="47"/>
      <c r="H148" s="70"/>
      <c r="I148" s="47" t="str">
        <f t="shared" ca="1" si="7"/>
        <v/>
      </c>
      <c r="J148" s="47" t="s">
        <v>44</v>
      </c>
      <c r="K148" s="47" t="s">
        <v>116</v>
      </c>
      <c r="L148" s="47" t="s">
        <v>117</v>
      </c>
      <c r="M148" s="47" t="s">
        <v>14</v>
      </c>
      <c r="N148" s="47" t="s">
        <v>101</v>
      </c>
      <c r="O148" s="70">
        <v>46230</v>
      </c>
      <c r="P148" s="47"/>
      <c r="Q148" s="47"/>
      <c r="R148" s="47"/>
      <c r="S148" s="47" t="s">
        <v>175</v>
      </c>
      <c r="T148" s="70">
        <v>46230</v>
      </c>
      <c r="U148" s="47" t="s">
        <v>365</v>
      </c>
      <c r="V148" s="47" t="s">
        <v>177</v>
      </c>
      <c r="W148" s="47" t="s">
        <v>178</v>
      </c>
    </row>
    <row r="149" spans="1:23" ht="15" customHeight="1" x14ac:dyDescent="0.25">
      <c r="A149" s="47">
        <v>144</v>
      </c>
      <c r="B149" s="47" t="s">
        <v>431</v>
      </c>
      <c r="C149" s="47" t="s">
        <v>338</v>
      </c>
      <c r="D149" s="47" t="s">
        <v>432</v>
      </c>
      <c r="E149" s="47" t="s">
        <v>187</v>
      </c>
      <c r="F149" s="47" t="str">
        <f t="shared" si="6"/>
        <v>PAULEEN LOGRONIO TISMO</v>
      </c>
      <c r="G149" s="47"/>
      <c r="H149" s="70"/>
      <c r="I149" s="47" t="str">
        <f t="shared" ca="1" si="7"/>
        <v/>
      </c>
      <c r="J149" s="47" t="s">
        <v>44</v>
      </c>
      <c r="K149" s="47" t="s">
        <v>116</v>
      </c>
      <c r="L149" s="47" t="s">
        <v>117</v>
      </c>
      <c r="M149" s="47" t="s">
        <v>14</v>
      </c>
      <c r="N149" s="47" t="s">
        <v>101</v>
      </c>
      <c r="O149" s="70">
        <v>46230</v>
      </c>
      <c r="P149" s="47"/>
      <c r="Q149" s="47"/>
      <c r="R149" s="47"/>
      <c r="S149" s="47" t="s">
        <v>175</v>
      </c>
      <c r="T149" s="70">
        <v>46230</v>
      </c>
      <c r="U149" s="47" t="s">
        <v>365</v>
      </c>
      <c r="V149" s="47" t="s">
        <v>177</v>
      </c>
      <c r="W149" s="47" t="s">
        <v>178</v>
      </c>
    </row>
    <row r="150" spans="1:23" ht="15" customHeight="1" x14ac:dyDescent="0.25">
      <c r="A150" s="47">
        <v>145</v>
      </c>
      <c r="B150" s="47" t="s">
        <v>433</v>
      </c>
      <c r="C150" s="47" t="s">
        <v>223</v>
      </c>
      <c r="D150" s="47" t="s">
        <v>434</v>
      </c>
      <c r="E150" s="47" t="s">
        <v>435</v>
      </c>
      <c r="F150" s="47" t="str">
        <f t="shared" si="6"/>
        <v>FLORA GEN OLAER VISCAYNO</v>
      </c>
      <c r="G150" s="47"/>
      <c r="H150" s="70"/>
      <c r="I150" s="47" t="str">
        <f t="shared" ca="1" si="7"/>
        <v/>
      </c>
      <c r="J150" s="47" t="s">
        <v>44</v>
      </c>
      <c r="K150" s="47" t="s">
        <v>116</v>
      </c>
      <c r="L150" s="47" t="s">
        <v>117</v>
      </c>
      <c r="M150" s="47" t="s">
        <v>14</v>
      </c>
      <c r="N150" s="47" t="s">
        <v>101</v>
      </c>
      <c r="O150" s="70">
        <v>46230</v>
      </c>
      <c r="P150" s="47"/>
      <c r="Q150" s="47"/>
      <c r="R150" s="47"/>
      <c r="S150" s="47" t="s">
        <v>175</v>
      </c>
      <c r="T150" s="70">
        <v>46230</v>
      </c>
      <c r="U150" s="47" t="s">
        <v>365</v>
      </c>
      <c r="V150" s="47" t="s">
        <v>177</v>
      </c>
      <c r="W150" s="47" t="s">
        <v>178</v>
      </c>
    </row>
    <row r="151" spans="1:23" ht="15" customHeight="1" x14ac:dyDescent="0.25">
      <c r="A151" s="47"/>
      <c r="B151" s="47"/>
      <c r="C151" s="47"/>
      <c r="D151" s="47"/>
      <c r="E151" s="47"/>
      <c r="F151" s="47" t="str">
        <f t="shared" si="6"/>
        <v/>
      </c>
      <c r="G151" s="47"/>
      <c r="H151" s="70"/>
      <c r="I151" s="47" t="str">
        <f t="shared" ca="1" si="7"/>
        <v/>
      </c>
      <c r="J151" s="47"/>
      <c r="K151" s="47"/>
      <c r="L151" s="47"/>
      <c r="M151" s="47"/>
      <c r="N151" s="47"/>
      <c r="O151" s="70"/>
      <c r="P151" s="47"/>
      <c r="Q151" s="47"/>
      <c r="R151" s="47"/>
      <c r="S151" s="47"/>
      <c r="T151" s="70"/>
      <c r="U151" s="47"/>
      <c r="V151" s="47"/>
      <c r="W151" s="47" t="str">
        <f t="shared" ref="W151:W182" si="8">IF(B151="","",IF(OR(J151="",K151=""),"Missing Grade/Section","OK"))</f>
        <v/>
      </c>
    </row>
    <row r="152" spans="1:23" ht="15" customHeight="1" x14ac:dyDescent="0.25">
      <c r="A152" s="47"/>
      <c r="B152" s="47"/>
      <c r="C152" s="47"/>
      <c r="D152" s="47"/>
      <c r="E152" s="47"/>
      <c r="F152" s="47" t="str">
        <f t="shared" si="6"/>
        <v/>
      </c>
      <c r="G152" s="47"/>
      <c r="H152" s="70"/>
      <c r="I152" s="47" t="str">
        <f t="shared" ca="1" si="7"/>
        <v/>
      </c>
      <c r="J152" s="47"/>
      <c r="K152" s="47"/>
      <c r="L152" s="47"/>
      <c r="M152" s="47"/>
      <c r="N152" s="47"/>
      <c r="O152" s="70"/>
      <c r="P152" s="47"/>
      <c r="Q152" s="47"/>
      <c r="R152" s="47"/>
      <c r="S152" s="47"/>
      <c r="T152" s="70"/>
      <c r="U152" s="47"/>
      <c r="V152" s="47"/>
      <c r="W152" s="47" t="str">
        <f t="shared" si="8"/>
        <v/>
      </c>
    </row>
    <row r="153" spans="1:23" ht="15" customHeight="1" x14ac:dyDescent="0.25">
      <c r="A153" s="47"/>
      <c r="B153" s="47"/>
      <c r="C153" s="47"/>
      <c r="D153" s="47"/>
      <c r="E153" s="47"/>
      <c r="F153" s="47" t="str">
        <f t="shared" si="6"/>
        <v/>
      </c>
      <c r="G153" s="47"/>
      <c r="H153" s="70"/>
      <c r="I153" s="47" t="str">
        <f t="shared" ca="1" si="7"/>
        <v/>
      </c>
      <c r="J153" s="47"/>
      <c r="K153" s="47"/>
      <c r="L153" s="47"/>
      <c r="M153" s="47"/>
      <c r="N153" s="47"/>
      <c r="O153" s="70"/>
      <c r="P153" s="47"/>
      <c r="Q153" s="47"/>
      <c r="R153" s="47"/>
      <c r="S153" s="47"/>
      <c r="T153" s="70"/>
      <c r="U153" s="47"/>
      <c r="V153" s="47"/>
      <c r="W153" s="47" t="str">
        <f t="shared" si="8"/>
        <v/>
      </c>
    </row>
    <row r="154" spans="1:23" ht="15" customHeight="1" x14ac:dyDescent="0.25">
      <c r="A154" s="47"/>
      <c r="B154" s="47"/>
      <c r="C154" s="47"/>
      <c r="D154" s="47"/>
      <c r="E154" s="47"/>
      <c r="F154" s="47" t="str">
        <f t="shared" si="6"/>
        <v/>
      </c>
      <c r="G154" s="47"/>
      <c r="H154" s="70"/>
      <c r="I154" s="47" t="str">
        <f t="shared" ca="1" si="7"/>
        <v/>
      </c>
      <c r="J154" s="47"/>
      <c r="K154" s="47"/>
      <c r="L154" s="47"/>
      <c r="M154" s="47"/>
      <c r="N154" s="47"/>
      <c r="O154" s="70"/>
      <c r="P154" s="47"/>
      <c r="Q154" s="47"/>
      <c r="R154" s="47"/>
      <c r="S154" s="47"/>
      <c r="T154" s="70"/>
      <c r="U154" s="47"/>
      <c r="V154" s="47"/>
      <c r="W154" s="47" t="str">
        <f t="shared" si="8"/>
        <v/>
      </c>
    </row>
    <row r="155" spans="1:23" ht="15" customHeight="1" x14ac:dyDescent="0.25">
      <c r="A155" s="47"/>
      <c r="B155" s="47"/>
      <c r="C155" s="47"/>
      <c r="D155" s="47"/>
      <c r="E155" s="47"/>
      <c r="F155" s="47" t="str">
        <f t="shared" si="6"/>
        <v/>
      </c>
      <c r="G155" s="47"/>
      <c r="H155" s="70"/>
      <c r="I155" s="47" t="str">
        <f t="shared" ca="1" si="7"/>
        <v/>
      </c>
      <c r="J155" s="47"/>
      <c r="K155" s="47"/>
      <c r="L155" s="47"/>
      <c r="M155" s="47"/>
      <c r="N155" s="47"/>
      <c r="O155" s="70"/>
      <c r="P155" s="47"/>
      <c r="Q155" s="47"/>
      <c r="R155" s="47"/>
      <c r="S155" s="47"/>
      <c r="T155" s="70"/>
      <c r="U155" s="47"/>
      <c r="V155" s="47"/>
      <c r="W155" s="47" t="str">
        <f t="shared" si="8"/>
        <v/>
      </c>
    </row>
    <row r="156" spans="1:23" ht="15" customHeight="1" x14ac:dyDescent="0.25">
      <c r="A156" s="47"/>
      <c r="B156" s="47"/>
      <c r="C156" s="47"/>
      <c r="D156" s="47"/>
      <c r="E156" s="47"/>
      <c r="F156" s="47" t="str">
        <f t="shared" si="6"/>
        <v/>
      </c>
      <c r="G156" s="47"/>
      <c r="H156" s="70"/>
      <c r="I156" s="47" t="str">
        <f t="shared" ca="1" si="7"/>
        <v/>
      </c>
      <c r="J156" s="47"/>
      <c r="K156" s="47"/>
      <c r="L156" s="47"/>
      <c r="M156" s="47"/>
      <c r="N156" s="47"/>
      <c r="O156" s="70"/>
      <c r="P156" s="47"/>
      <c r="Q156" s="47"/>
      <c r="R156" s="47"/>
      <c r="S156" s="47"/>
      <c r="T156" s="70"/>
      <c r="U156" s="47"/>
      <c r="V156" s="47"/>
      <c r="W156" s="47" t="str">
        <f t="shared" si="8"/>
        <v/>
      </c>
    </row>
    <row r="157" spans="1:23" ht="15" customHeight="1" x14ac:dyDescent="0.25">
      <c r="A157" s="47"/>
      <c r="B157" s="47"/>
      <c r="C157" s="47"/>
      <c r="D157" s="47"/>
      <c r="E157" s="47"/>
      <c r="F157" s="47" t="str">
        <f t="shared" si="6"/>
        <v/>
      </c>
      <c r="G157" s="47"/>
      <c r="H157" s="70"/>
      <c r="I157" s="47" t="str">
        <f t="shared" ca="1" si="7"/>
        <v/>
      </c>
      <c r="J157" s="47"/>
      <c r="K157" s="47"/>
      <c r="L157" s="47"/>
      <c r="M157" s="47"/>
      <c r="N157" s="47"/>
      <c r="O157" s="70"/>
      <c r="P157" s="47"/>
      <c r="Q157" s="47"/>
      <c r="R157" s="47"/>
      <c r="S157" s="47"/>
      <c r="T157" s="70"/>
      <c r="U157" s="47"/>
      <c r="V157" s="47"/>
      <c r="W157" s="47" t="str">
        <f t="shared" si="8"/>
        <v/>
      </c>
    </row>
    <row r="158" spans="1:23" ht="15" customHeight="1" x14ac:dyDescent="0.25">
      <c r="A158" s="47"/>
      <c r="B158" s="47"/>
      <c r="C158" s="47"/>
      <c r="D158" s="47"/>
      <c r="E158" s="47"/>
      <c r="F158" s="47" t="str">
        <f t="shared" si="6"/>
        <v/>
      </c>
      <c r="G158" s="47"/>
      <c r="H158" s="70"/>
      <c r="I158" s="47" t="str">
        <f t="shared" ca="1" si="7"/>
        <v/>
      </c>
      <c r="J158" s="47"/>
      <c r="K158" s="47"/>
      <c r="L158" s="47"/>
      <c r="M158" s="47"/>
      <c r="N158" s="47"/>
      <c r="O158" s="70"/>
      <c r="P158" s="47"/>
      <c r="Q158" s="47"/>
      <c r="R158" s="47"/>
      <c r="S158" s="47"/>
      <c r="T158" s="70"/>
      <c r="U158" s="47"/>
      <c r="V158" s="47"/>
      <c r="W158" s="47" t="str">
        <f t="shared" si="8"/>
        <v/>
      </c>
    </row>
    <row r="159" spans="1:23" ht="15" customHeight="1" x14ac:dyDescent="0.25">
      <c r="A159" s="47"/>
      <c r="B159" s="47"/>
      <c r="C159" s="47"/>
      <c r="D159" s="47"/>
      <c r="E159" s="47"/>
      <c r="F159" s="47" t="str">
        <f t="shared" si="6"/>
        <v/>
      </c>
      <c r="G159" s="47"/>
      <c r="H159" s="70"/>
      <c r="I159" s="47" t="str">
        <f t="shared" ca="1" si="7"/>
        <v/>
      </c>
      <c r="J159" s="47"/>
      <c r="K159" s="47"/>
      <c r="L159" s="47"/>
      <c r="M159" s="47"/>
      <c r="N159" s="47"/>
      <c r="O159" s="70"/>
      <c r="P159" s="47"/>
      <c r="Q159" s="47"/>
      <c r="R159" s="47"/>
      <c r="S159" s="47"/>
      <c r="T159" s="70"/>
      <c r="U159" s="47"/>
      <c r="V159" s="47"/>
      <c r="W159" s="47" t="str">
        <f t="shared" si="8"/>
        <v/>
      </c>
    </row>
    <row r="160" spans="1:23" ht="15" customHeight="1" x14ac:dyDescent="0.25">
      <c r="A160" s="47"/>
      <c r="B160" s="47"/>
      <c r="C160" s="47"/>
      <c r="D160" s="47"/>
      <c r="E160" s="47"/>
      <c r="F160" s="47" t="str">
        <f t="shared" si="6"/>
        <v/>
      </c>
      <c r="G160" s="47"/>
      <c r="H160" s="70"/>
      <c r="I160" s="47" t="str">
        <f t="shared" ca="1" si="7"/>
        <v/>
      </c>
      <c r="J160" s="47"/>
      <c r="K160" s="47"/>
      <c r="L160" s="47"/>
      <c r="M160" s="47"/>
      <c r="N160" s="47"/>
      <c r="O160" s="70"/>
      <c r="P160" s="47"/>
      <c r="Q160" s="47"/>
      <c r="R160" s="47"/>
      <c r="S160" s="47"/>
      <c r="T160" s="70"/>
      <c r="U160" s="47"/>
      <c r="V160" s="47"/>
      <c r="W160" s="47" t="str">
        <f t="shared" si="8"/>
        <v/>
      </c>
    </row>
    <row r="161" spans="1:23" ht="15" customHeight="1" x14ac:dyDescent="0.25">
      <c r="A161" s="47"/>
      <c r="B161" s="47"/>
      <c r="C161" s="47"/>
      <c r="D161" s="47"/>
      <c r="E161" s="47"/>
      <c r="F161" s="47" t="str">
        <f t="shared" si="6"/>
        <v/>
      </c>
      <c r="G161" s="47"/>
      <c r="H161" s="70"/>
      <c r="I161" s="47" t="str">
        <f t="shared" ca="1" si="7"/>
        <v/>
      </c>
      <c r="J161" s="47"/>
      <c r="K161" s="47"/>
      <c r="L161" s="47"/>
      <c r="M161" s="47"/>
      <c r="N161" s="47"/>
      <c r="O161" s="70"/>
      <c r="P161" s="47"/>
      <c r="Q161" s="47"/>
      <c r="R161" s="47"/>
      <c r="S161" s="47"/>
      <c r="T161" s="70"/>
      <c r="U161" s="47"/>
      <c r="V161" s="47"/>
      <c r="W161" s="47" t="str">
        <f t="shared" si="8"/>
        <v/>
      </c>
    </row>
    <row r="162" spans="1:23" ht="15" customHeight="1" x14ac:dyDescent="0.25">
      <c r="A162" s="47"/>
      <c r="B162" s="47"/>
      <c r="C162" s="47"/>
      <c r="D162" s="47"/>
      <c r="E162" s="47"/>
      <c r="F162" s="47" t="str">
        <f t="shared" si="6"/>
        <v/>
      </c>
      <c r="G162" s="47"/>
      <c r="H162" s="70"/>
      <c r="I162" s="47" t="str">
        <f t="shared" ca="1" si="7"/>
        <v/>
      </c>
      <c r="J162" s="47"/>
      <c r="K162" s="47"/>
      <c r="L162" s="47"/>
      <c r="M162" s="47"/>
      <c r="N162" s="47"/>
      <c r="O162" s="70"/>
      <c r="P162" s="47"/>
      <c r="Q162" s="47"/>
      <c r="R162" s="47"/>
      <c r="S162" s="47"/>
      <c r="T162" s="70"/>
      <c r="U162" s="47"/>
      <c r="V162" s="47"/>
      <c r="W162" s="47" t="str">
        <f t="shared" si="8"/>
        <v/>
      </c>
    </row>
    <row r="163" spans="1:23" ht="15" customHeight="1" x14ac:dyDescent="0.25">
      <c r="A163" s="47"/>
      <c r="B163" s="47"/>
      <c r="C163" s="47"/>
      <c r="D163" s="47"/>
      <c r="E163" s="47"/>
      <c r="F163" s="47" t="str">
        <f t="shared" si="6"/>
        <v/>
      </c>
      <c r="G163" s="47"/>
      <c r="H163" s="70"/>
      <c r="I163" s="47" t="str">
        <f t="shared" ca="1" si="7"/>
        <v/>
      </c>
      <c r="J163" s="47"/>
      <c r="K163" s="47"/>
      <c r="L163" s="47"/>
      <c r="M163" s="47"/>
      <c r="N163" s="47"/>
      <c r="O163" s="70"/>
      <c r="P163" s="47"/>
      <c r="Q163" s="47"/>
      <c r="R163" s="47"/>
      <c r="S163" s="47"/>
      <c r="T163" s="70"/>
      <c r="U163" s="47"/>
      <c r="V163" s="47"/>
      <c r="W163" s="47" t="str">
        <f t="shared" si="8"/>
        <v/>
      </c>
    </row>
    <row r="164" spans="1:23" ht="15" customHeight="1" x14ac:dyDescent="0.25">
      <c r="A164" s="47"/>
      <c r="B164" s="47"/>
      <c r="C164" s="47"/>
      <c r="D164" s="47"/>
      <c r="E164" s="47"/>
      <c r="F164" s="47" t="str">
        <f t="shared" si="6"/>
        <v/>
      </c>
      <c r="G164" s="47"/>
      <c r="H164" s="70"/>
      <c r="I164" s="47" t="str">
        <f t="shared" ca="1" si="7"/>
        <v/>
      </c>
      <c r="J164" s="47"/>
      <c r="K164" s="47"/>
      <c r="L164" s="47"/>
      <c r="M164" s="47"/>
      <c r="N164" s="47"/>
      <c r="O164" s="70"/>
      <c r="P164" s="47"/>
      <c r="Q164" s="47"/>
      <c r="R164" s="47"/>
      <c r="S164" s="47"/>
      <c r="T164" s="70"/>
      <c r="U164" s="47"/>
      <c r="V164" s="47"/>
      <c r="W164" s="47" t="str">
        <f t="shared" si="8"/>
        <v/>
      </c>
    </row>
    <row r="165" spans="1:23" ht="15" customHeight="1" x14ac:dyDescent="0.25">
      <c r="A165" s="47"/>
      <c r="B165" s="47"/>
      <c r="C165" s="47"/>
      <c r="D165" s="47"/>
      <c r="E165" s="47"/>
      <c r="F165" s="47" t="str">
        <f t="shared" si="6"/>
        <v/>
      </c>
      <c r="G165" s="47"/>
      <c r="H165" s="70"/>
      <c r="I165" s="47" t="str">
        <f t="shared" ca="1" si="7"/>
        <v/>
      </c>
      <c r="J165" s="47"/>
      <c r="K165" s="47"/>
      <c r="L165" s="47"/>
      <c r="M165" s="47"/>
      <c r="N165" s="47"/>
      <c r="O165" s="70"/>
      <c r="P165" s="47"/>
      <c r="Q165" s="47"/>
      <c r="R165" s="47"/>
      <c r="S165" s="47"/>
      <c r="T165" s="70"/>
      <c r="U165" s="47"/>
      <c r="V165" s="47"/>
      <c r="W165" s="47" t="str">
        <f t="shared" si="8"/>
        <v/>
      </c>
    </row>
    <row r="166" spans="1:23" ht="15" customHeight="1" x14ac:dyDescent="0.25">
      <c r="A166" s="47"/>
      <c r="B166" s="47"/>
      <c r="C166" s="47"/>
      <c r="D166" s="47"/>
      <c r="E166" s="47"/>
      <c r="F166" s="47" t="str">
        <f t="shared" si="6"/>
        <v/>
      </c>
      <c r="G166" s="47"/>
      <c r="H166" s="70"/>
      <c r="I166" s="47" t="str">
        <f t="shared" ca="1" si="7"/>
        <v/>
      </c>
      <c r="J166" s="47"/>
      <c r="K166" s="47"/>
      <c r="L166" s="47"/>
      <c r="M166" s="47"/>
      <c r="N166" s="47"/>
      <c r="O166" s="70"/>
      <c r="P166" s="47"/>
      <c r="Q166" s="47"/>
      <c r="R166" s="47"/>
      <c r="S166" s="47"/>
      <c r="T166" s="70"/>
      <c r="U166" s="47"/>
      <c r="V166" s="47"/>
      <c r="W166" s="47" t="str">
        <f t="shared" si="8"/>
        <v/>
      </c>
    </row>
    <row r="167" spans="1:23" ht="15" customHeight="1" x14ac:dyDescent="0.25">
      <c r="A167" s="47"/>
      <c r="B167" s="47"/>
      <c r="C167" s="47"/>
      <c r="D167" s="47"/>
      <c r="E167" s="47"/>
      <c r="F167" s="47" t="str">
        <f t="shared" si="6"/>
        <v/>
      </c>
      <c r="G167" s="47"/>
      <c r="H167" s="70"/>
      <c r="I167" s="47" t="str">
        <f t="shared" ca="1" si="7"/>
        <v/>
      </c>
      <c r="J167" s="47"/>
      <c r="K167" s="47"/>
      <c r="L167" s="47"/>
      <c r="M167" s="47"/>
      <c r="N167" s="47"/>
      <c r="O167" s="70"/>
      <c r="P167" s="47"/>
      <c r="Q167" s="47"/>
      <c r="R167" s="47"/>
      <c r="S167" s="47"/>
      <c r="T167" s="70"/>
      <c r="U167" s="47"/>
      <c r="V167" s="47"/>
      <c r="W167" s="47" t="str">
        <f t="shared" si="8"/>
        <v/>
      </c>
    </row>
    <row r="168" spans="1:23" ht="15" customHeight="1" x14ac:dyDescent="0.25">
      <c r="A168" s="47"/>
      <c r="B168" s="47"/>
      <c r="C168" s="47"/>
      <c r="D168" s="47"/>
      <c r="E168" s="47"/>
      <c r="F168" s="47" t="str">
        <f t="shared" si="6"/>
        <v/>
      </c>
      <c r="G168" s="47"/>
      <c r="H168" s="70"/>
      <c r="I168" s="47" t="str">
        <f t="shared" ca="1" si="7"/>
        <v/>
      </c>
      <c r="J168" s="47"/>
      <c r="K168" s="47"/>
      <c r="L168" s="47"/>
      <c r="M168" s="47"/>
      <c r="N168" s="47"/>
      <c r="O168" s="70"/>
      <c r="P168" s="47"/>
      <c r="Q168" s="47"/>
      <c r="R168" s="47"/>
      <c r="S168" s="47"/>
      <c r="T168" s="70"/>
      <c r="U168" s="47"/>
      <c r="V168" s="47"/>
      <c r="W168" s="47" t="str">
        <f t="shared" si="8"/>
        <v/>
      </c>
    </row>
    <row r="169" spans="1:23" ht="15" customHeight="1" x14ac:dyDescent="0.25">
      <c r="A169" s="47"/>
      <c r="B169" s="47"/>
      <c r="C169" s="47"/>
      <c r="D169" s="47"/>
      <c r="E169" s="47"/>
      <c r="F169" s="47" t="str">
        <f t="shared" si="6"/>
        <v/>
      </c>
      <c r="G169" s="47"/>
      <c r="H169" s="70"/>
      <c r="I169" s="47" t="str">
        <f t="shared" ca="1" si="7"/>
        <v/>
      </c>
      <c r="J169" s="47"/>
      <c r="K169" s="47"/>
      <c r="L169" s="47"/>
      <c r="M169" s="47"/>
      <c r="N169" s="47"/>
      <c r="O169" s="70"/>
      <c r="P169" s="47"/>
      <c r="Q169" s="47"/>
      <c r="R169" s="47"/>
      <c r="S169" s="47"/>
      <c r="T169" s="70"/>
      <c r="U169" s="47"/>
      <c r="V169" s="47"/>
      <c r="W169" s="47" t="str">
        <f t="shared" si="8"/>
        <v/>
      </c>
    </row>
    <row r="170" spans="1:23" ht="15" customHeight="1" x14ac:dyDescent="0.25">
      <c r="A170" s="47"/>
      <c r="B170" s="47"/>
      <c r="C170" s="47"/>
      <c r="D170" s="47"/>
      <c r="E170" s="47"/>
      <c r="F170" s="47" t="str">
        <f t="shared" si="6"/>
        <v/>
      </c>
      <c r="G170" s="47"/>
      <c r="H170" s="70"/>
      <c r="I170" s="47" t="str">
        <f t="shared" ca="1" si="7"/>
        <v/>
      </c>
      <c r="J170" s="47"/>
      <c r="K170" s="47"/>
      <c r="L170" s="47"/>
      <c r="M170" s="47"/>
      <c r="N170" s="47"/>
      <c r="O170" s="70"/>
      <c r="P170" s="47"/>
      <c r="Q170" s="47"/>
      <c r="R170" s="47"/>
      <c r="S170" s="47"/>
      <c r="T170" s="70"/>
      <c r="U170" s="47"/>
      <c r="V170" s="47"/>
      <c r="W170" s="47" t="str">
        <f t="shared" si="8"/>
        <v/>
      </c>
    </row>
    <row r="171" spans="1:23" ht="15" customHeight="1" x14ac:dyDescent="0.25">
      <c r="A171" s="47"/>
      <c r="B171" s="47"/>
      <c r="C171" s="47"/>
      <c r="D171" s="47"/>
      <c r="E171" s="47"/>
      <c r="F171" s="47" t="str">
        <f t="shared" si="6"/>
        <v/>
      </c>
      <c r="G171" s="47"/>
      <c r="H171" s="70"/>
      <c r="I171" s="47" t="str">
        <f t="shared" ca="1" si="7"/>
        <v/>
      </c>
      <c r="J171" s="47"/>
      <c r="K171" s="47"/>
      <c r="L171" s="47"/>
      <c r="M171" s="47"/>
      <c r="N171" s="47"/>
      <c r="O171" s="70"/>
      <c r="P171" s="47"/>
      <c r="Q171" s="47"/>
      <c r="R171" s="47"/>
      <c r="S171" s="47"/>
      <c r="T171" s="70"/>
      <c r="U171" s="47"/>
      <c r="V171" s="47"/>
      <c r="W171" s="47" t="str">
        <f t="shared" si="8"/>
        <v/>
      </c>
    </row>
    <row r="172" spans="1:23" ht="15" customHeight="1" x14ac:dyDescent="0.25">
      <c r="A172" s="47"/>
      <c r="B172" s="47"/>
      <c r="C172" s="47"/>
      <c r="D172" s="47"/>
      <c r="E172" s="47"/>
      <c r="F172" s="47" t="str">
        <f t="shared" si="6"/>
        <v/>
      </c>
      <c r="G172" s="47"/>
      <c r="H172" s="70"/>
      <c r="I172" s="47" t="str">
        <f t="shared" ca="1" si="7"/>
        <v/>
      </c>
      <c r="J172" s="47"/>
      <c r="K172" s="47"/>
      <c r="L172" s="47"/>
      <c r="M172" s="47"/>
      <c r="N172" s="47"/>
      <c r="O172" s="70"/>
      <c r="P172" s="47"/>
      <c r="Q172" s="47"/>
      <c r="R172" s="47"/>
      <c r="S172" s="47"/>
      <c r="T172" s="70"/>
      <c r="U172" s="47"/>
      <c r="V172" s="47"/>
      <c r="W172" s="47" t="str">
        <f t="shared" si="8"/>
        <v/>
      </c>
    </row>
    <row r="173" spans="1:23" ht="15" customHeight="1" x14ac:dyDescent="0.25">
      <c r="A173" s="47"/>
      <c r="B173" s="47"/>
      <c r="C173" s="47"/>
      <c r="D173" s="47"/>
      <c r="E173" s="47"/>
      <c r="F173" s="47" t="str">
        <f t="shared" si="6"/>
        <v/>
      </c>
      <c r="G173" s="47"/>
      <c r="H173" s="70"/>
      <c r="I173" s="47" t="str">
        <f t="shared" ca="1" si="7"/>
        <v/>
      </c>
      <c r="J173" s="47"/>
      <c r="K173" s="47"/>
      <c r="L173" s="47"/>
      <c r="M173" s="47"/>
      <c r="N173" s="47"/>
      <c r="O173" s="70"/>
      <c r="P173" s="47"/>
      <c r="Q173" s="47"/>
      <c r="R173" s="47"/>
      <c r="S173" s="47"/>
      <c r="T173" s="70"/>
      <c r="U173" s="47"/>
      <c r="V173" s="47"/>
      <c r="W173" s="47" t="str">
        <f t="shared" si="8"/>
        <v/>
      </c>
    </row>
    <row r="174" spans="1:23" ht="15" customHeight="1" x14ac:dyDescent="0.25">
      <c r="A174" s="47"/>
      <c r="B174" s="47"/>
      <c r="C174" s="47"/>
      <c r="D174" s="47"/>
      <c r="E174" s="47"/>
      <c r="F174" s="47" t="str">
        <f t="shared" si="6"/>
        <v/>
      </c>
      <c r="G174" s="47"/>
      <c r="H174" s="70"/>
      <c r="I174" s="47" t="str">
        <f t="shared" ca="1" si="7"/>
        <v/>
      </c>
      <c r="J174" s="47"/>
      <c r="K174" s="47"/>
      <c r="L174" s="47"/>
      <c r="M174" s="47"/>
      <c r="N174" s="47"/>
      <c r="O174" s="70"/>
      <c r="P174" s="47"/>
      <c r="Q174" s="47"/>
      <c r="R174" s="47"/>
      <c r="S174" s="47"/>
      <c r="T174" s="70"/>
      <c r="U174" s="47"/>
      <c r="V174" s="47"/>
      <c r="W174" s="47" t="str">
        <f t="shared" si="8"/>
        <v/>
      </c>
    </row>
    <row r="175" spans="1:23" ht="15" customHeight="1" x14ac:dyDescent="0.25">
      <c r="A175" s="47"/>
      <c r="B175" s="47"/>
      <c r="C175" s="47"/>
      <c r="D175" s="47"/>
      <c r="E175" s="47"/>
      <c r="F175" s="47" t="str">
        <f t="shared" si="6"/>
        <v/>
      </c>
      <c r="G175" s="47"/>
      <c r="H175" s="70"/>
      <c r="I175" s="47" t="str">
        <f t="shared" ca="1" si="7"/>
        <v/>
      </c>
      <c r="J175" s="47"/>
      <c r="K175" s="47"/>
      <c r="L175" s="47"/>
      <c r="M175" s="47"/>
      <c r="N175" s="47"/>
      <c r="O175" s="70"/>
      <c r="P175" s="47"/>
      <c r="Q175" s="47"/>
      <c r="R175" s="47"/>
      <c r="S175" s="47"/>
      <c r="T175" s="70"/>
      <c r="U175" s="47"/>
      <c r="V175" s="47"/>
      <c r="W175" s="47" t="str">
        <f t="shared" si="8"/>
        <v/>
      </c>
    </row>
    <row r="176" spans="1:23" ht="15" customHeight="1" x14ac:dyDescent="0.25">
      <c r="A176" s="47"/>
      <c r="B176" s="47"/>
      <c r="C176" s="47"/>
      <c r="D176" s="47"/>
      <c r="E176" s="47"/>
      <c r="F176" s="47" t="str">
        <f t="shared" si="6"/>
        <v/>
      </c>
      <c r="G176" s="47"/>
      <c r="H176" s="70"/>
      <c r="I176" s="47" t="str">
        <f t="shared" ca="1" si="7"/>
        <v/>
      </c>
      <c r="J176" s="47"/>
      <c r="K176" s="47"/>
      <c r="L176" s="47"/>
      <c r="M176" s="47"/>
      <c r="N176" s="47"/>
      <c r="O176" s="70"/>
      <c r="P176" s="47"/>
      <c r="Q176" s="47"/>
      <c r="R176" s="47"/>
      <c r="S176" s="47"/>
      <c r="T176" s="70"/>
      <c r="U176" s="47"/>
      <c r="V176" s="47"/>
      <c r="W176" s="47" t="str">
        <f t="shared" si="8"/>
        <v/>
      </c>
    </row>
    <row r="177" spans="1:23" ht="15" customHeight="1" x14ac:dyDescent="0.25">
      <c r="A177" s="47"/>
      <c r="B177" s="47"/>
      <c r="C177" s="47"/>
      <c r="D177" s="47"/>
      <c r="E177" s="47"/>
      <c r="F177" s="47" t="str">
        <f t="shared" si="6"/>
        <v/>
      </c>
      <c r="G177" s="47"/>
      <c r="H177" s="70"/>
      <c r="I177" s="47" t="str">
        <f t="shared" ca="1" si="7"/>
        <v/>
      </c>
      <c r="J177" s="47"/>
      <c r="K177" s="47"/>
      <c r="L177" s="47"/>
      <c r="M177" s="47"/>
      <c r="N177" s="47"/>
      <c r="O177" s="70"/>
      <c r="P177" s="47"/>
      <c r="Q177" s="47"/>
      <c r="R177" s="47"/>
      <c r="S177" s="47"/>
      <c r="T177" s="70"/>
      <c r="U177" s="47"/>
      <c r="V177" s="47"/>
      <c r="W177" s="47" t="str">
        <f t="shared" si="8"/>
        <v/>
      </c>
    </row>
    <row r="178" spans="1:23" ht="15" customHeight="1" x14ac:dyDescent="0.25">
      <c r="A178" s="47"/>
      <c r="B178" s="47"/>
      <c r="C178" s="47"/>
      <c r="D178" s="47"/>
      <c r="E178" s="47"/>
      <c r="F178" s="47" t="str">
        <f t="shared" si="6"/>
        <v/>
      </c>
      <c r="G178" s="47"/>
      <c r="H178" s="70"/>
      <c r="I178" s="47" t="str">
        <f t="shared" ca="1" si="7"/>
        <v/>
      </c>
      <c r="J178" s="47"/>
      <c r="K178" s="47"/>
      <c r="L178" s="47"/>
      <c r="M178" s="47"/>
      <c r="N178" s="47"/>
      <c r="O178" s="70"/>
      <c r="P178" s="47"/>
      <c r="Q178" s="47"/>
      <c r="R178" s="47"/>
      <c r="S178" s="47"/>
      <c r="T178" s="70"/>
      <c r="U178" s="47"/>
      <c r="V178" s="47"/>
      <c r="W178" s="47" t="str">
        <f t="shared" si="8"/>
        <v/>
      </c>
    </row>
    <row r="179" spans="1:23" ht="15" customHeight="1" x14ac:dyDescent="0.25">
      <c r="A179" s="47"/>
      <c r="B179" s="47"/>
      <c r="C179" s="47"/>
      <c r="D179" s="47"/>
      <c r="E179" s="47"/>
      <c r="F179" s="47" t="str">
        <f t="shared" si="6"/>
        <v/>
      </c>
      <c r="G179" s="47"/>
      <c r="H179" s="70"/>
      <c r="I179" s="47" t="str">
        <f t="shared" ca="1" si="7"/>
        <v/>
      </c>
      <c r="J179" s="47"/>
      <c r="K179" s="47"/>
      <c r="L179" s="47"/>
      <c r="M179" s="47"/>
      <c r="N179" s="47"/>
      <c r="O179" s="70"/>
      <c r="P179" s="47"/>
      <c r="Q179" s="47"/>
      <c r="R179" s="47"/>
      <c r="S179" s="47"/>
      <c r="T179" s="70"/>
      <c r="U179" s="47"/>
      <c r="V179" s="47"/>
      <c r="W179" s="47" t="str">
        <f t="shared" si="8"/>
        <v/>
      </c>
    </row>
    <row r="180" spans="1:23" ht="15" customHeight="1" x14ac:dyDescent="0.25">
      <c r="A180" s="47"/>
      <c r="B180" s="47"/>
      <c r="C180" s="47"/>
      <c r="D180" s="47"/>
      <c r="E180" s="47"/>
      <c r="F180" s="47" t="str">
        <f t="shared" si="6"/>
        <v/>
      </c>
      <c r="G180" s="47"/>
      <c r="H180" s="70"/>
      <c r="I180" s="47" t="str">
        <f t="shared" ca="1" si="7"/>
        <v/>
      </c>
      <c r="J180" s="47"/>
      <c r="K180" s="47"/>
      <c r="L180" s="47"/>
      <c r="M180" s="47"/>
      <c r="N180" s="47"/>
      <c r="O180" s="70"/>
      <c r="P180" s="47"/>
      <c r="Q180" s="47"/>
      <c r="R180" s="47"/>
      <c r="S180" s="47"/>
      <c r="T180" s="70"/>
      <c r="U180" s="47"/>
      <c r="V180" s="47"/>
      <c r="W180" s="47" t="str">
        <f t="shared" si="8"/>
        <v/>
      </c>
    </row>
    <row r="181" spans="1:23" ht="15" customHeight="1" x14ac:dyDescent="0.25">
      <c r="A181" s="47"/>
      <c r="B181" s="47"/>
      <c r="C181" s="47"/>
      <c r="D181" s="47"/>
      <c r="E181" s="47"/>
      <c r="F181" s="47" t="str">
        <f t="shared" si="6"/>
        <v/>
      </c>
      <c r="G181" s="47"/>
      <c r="H181" s="70"/>
      <c r="I181" s="47" t="str">
        <f t="shared" ca="1" si="7"/>
        <v/>
      </c>
      <c r="J181" s="47"/>
      <c r="K181" s="47"/>
      <c r="L181" s="47"/>
      <c r="M181" s="47"/>
      <c r="N181" s="47"/>
      <c r="O181" s="70"/>
      <c r="P181" s="47"/>
      <c r="Q181" s="47"/>
      <c r="R181" s="47"/>
      <c r="S181" s="47"/>
      <c r="T181" s="70"/>
      <c r="U181" s="47"/>
      <c r="V181" s="47"/>
      <c r="W181" s="47" t="str">
        <f t="shared" si="8"/>
        <v/>
      </c>
    </row>
    <row r="182" spans="1:23" ht="15" customHeight="1" x14ac:dyDescent="0.25">
      <c r="A182" s="47"/>
      <c r="B182" s="47"/>
      <c r="C182" s="47"/>
      <c r="D182" s="47"/>
      <c r="E182" s="47"/>
      <c r="F182" s="47" t="str">
        <f t="shared" si="6"/>
        <v/>
      </c>
      <c r="G182" s="47"/>
      <c r="H182" s="70"/>
      <c r="I182" s="47" t="str">
        <f t="shared" ca="1" si="7"/>
        <v/>
      </c>
      <c r="J182" s="47"/>
      <c r="K182" s="47"/>
      <c r="L182" s="47"/>
      <c r="M182" s="47"/>
      <c r="N182" s="47"/>
      <c r="O182" s="70"/>
      <c r="P182" s="47"/>
      <c r="Q182" s="47"/>
      <c r="R182" s="47"/>
      <c r="S182" s="47"/>
      <c r="T182" s="70"/>
      <c r="U182" s="47"/>
      <c r="V182" s="47"/>
      <c r="W182" s="47" t="str">
        <f t="shared" si="8"/>
        <v/>
      </c>
    </row>
    <row r="183" spans="1:23" ht="15" customHeight="1" x14ac:dyDescent="0.25">
      <c r="A183" s="47"/>
      <c r="B183" s="47"/>
      <c r="C183" s="47"/>
      <c r="D183" s="47"/>
      <c r="E183" s="47"/>
      <c r="F183" s="47" t="str">
        <f t="shared" si="6"/>
        <v/>
      </c>
      <c r="G183" s="47"/>
      <c r="H183" s="70"/>
      <c r="I183" s="47" t="str">
        <f t="shared" ca="1" si="7"/>
        <v/>
      </c>
      <c r="J183" s="47"/>
      <c r="K183" s="47"/>
      <c r="L183" s="47"/>
      <c r="M183" s="47"/>
      <c r="N183" s="47"/>
      <c r="O183" s="70"/>
      <c r="P183" s="47"/>
      <c r="Q183" s="47"/>
      <c r="R183" s="47"/>
      <c r="S183" s="47"/>
      <c r="T183" s="70"/>
      <c r="U183" s="47"/>
      <c r="V183" s="47"/>
      <c r="W183" s="47" t="str">
        <f t="shared" ref="W183:W214" si="9">IF(B183="","",IF(OR(J183="",K183=""),"Missing Grade/Section","OK"))</f>
        <v/>
      </c>
    </row>
    <row r="184" spans="1:23" ht="15" customHeight="1" x14ac:dyDescent="0.25">
      <c r="A184" s="47"/>
      <c r="B184" s="47"/>
      <c r="C184" s="47"/>
      <c r="D184" s="47"/>
      <c r="E184" s="47"/>
      <c r="F184" s="47" t="str">
        <f t="shared" si="6"/>
        <v/>
      </c>
      <c r="G184" s="47"/>
      <c r="H184" s="70"/>
      <c r="I184" s="47" t="str">
        <f t="shared" ca="1" si="7"/>
        <v/>
      </c>
      <c r="J184" s="47"/>
      <c r="K184" s="47"/>
      <c r="L184" s="47"/>
      <c r="M184" s="47"/>
      <c r="N184" s="47"/>
      <c r="O184" s="70"/>
      <c r="P184" s="47"/>
      <c r="Q184" s="47"/>
      <c r="R184" s="47"/>
      <c r="S184" s="47"/>
      <c r="T184" s="70"/>
      <c r="U184" s="47"/>
      <c r="V184" s="47"/>
      <c r="W184" s="47" t="str">
        <f t="shared" si="9"/>
        <v/>
      </c>
    </row>
    <row r="185" spans="1:23" ht="15" customHeight="1" x14ac:dyDescent="0.25">
      <c r="A185" s="47"/>
      <c r="B185" s="47"/>
      <c r="C185" s="47"/>
      <c r="D185" s="47"/>
      <c r="E185" s="47"/>
      <c r="F185" s="47" t="str">
        <f t="shared" si="6"/>
        <v/>
      </c>
      <c r="G185" s="47"/>
      <c r="H185" s="70"/>
      <c r="I185" s="47" t="str">
        <f t="shared" ca="1" si="7"/>
        <v/>
      </c>
      <c r="J185" s="47"/>
      <c r="K185" s="47"/>
      <c r="L185" s="47"/>
      <c r="M185" s="47"/>
      <c r="N185" s="47"/>
      <c r="O185" s="70"/>
      <c r="P185" s="47"/>
      <c r="Q185" s="47"/>
      <c r="R185" s="47"/>
      <c r="S185" s="47"/>
      <c r="T185" s="70"/>
      <c r="U185" s="47"/>
      <c r="V185" s="47"/>
      <c r="W185" s="47" t="str">
        <f t="shared" si="9"/>
        <v/>
      </c>
    </row>
    <row r="186" spans="1:23" ht="15" customHeight="1" x14ac:dyDescent="0.25">
      <c r="A186" s="47"/>
      <c r="B186" s="47"/>
      <c r="C186" s="47"/>
      <c r="D186" s="47"/>
      <c r="E186" s="47"/>
      <c r="F186" s="47" t="str">
        <f t="shared" si="6"/>
        <v/>
      </c>
      <c r="G186" s="47"/>
      <c r="H186" s="70"/>
      <c r="I186" s="47" t="str">
        <f t="shared" ca="1" si="7"/>
        <v/>
      </c>
      <c r="J186" s="47"/>
      <c r="K186" s="47"/>
      <c r="L186" s="47"/>
      <c r="M186" s="47"/>
      <c r="N186" s="47"/>
      <c r="O186" s="70"/>
      <c r="P186" s="47"/>
      <c r="Q186" s="47"/>
      <c r="R186" s="47"/>
      <c r="S186" s="47"/>
      <c r="T186" s="70"/>
      <c r="U186" s="47"/>
      <c r="V186" s="47"/>
      <c r="W186" s="47" t="str">
        <f t="shared" si="9"/>
        <v/>
      </c>
    </row>
    <row r="187" spans="1:23" ht="15" customHeight="1" x14ac:dyDescent="0.25">
      <c r="A187" s="47"/>
      <c r="B187" s="47"/>
      <c r="C187" s="47"/>
      <c r="D187" s="47"/>
      <c r="E187" s="47"/>
      <c r="F187" s="47" t="str">
        <f t="shared" si="6"/>
        <v/>
      </c>
      <c r="G187" s="47"/>
      <c r="H187" s="70"/>
      <c r="I187" s="47" t="str">
        <f t="shared" ca="1" si="7"/>
        <v/>
      </c>
      <c r="J187" s="47"/>
      <c r="K187" s="47"/>
      <c r="L187" s="47"/>
      <c r="M187" s="47"/>
      <c r="N187" s="47"/>
      <c r="O187" s="70"/>
      <c r="P187" s="47"/>
      <c r="Q187" s="47"/>
      <c r="R187" s="47"/>
      <c r="S187" s="47"/>
      <c r="T187" s="70"/>
      <c r="U187" s="47"/>
      <c r="V187" s="47"/>
      <c r="W187" s="47" t="str">
        <f t="shared" si="9"/>
        <v/>
      </c>
    </row>
    <row r="188" spans="1:23" ht="15" customHeight="1" x14ac:dyDescent="0.25">
      <c r="A188" s="47"/>
      <c r="B188" s="47"/>
      <c r="C188" s="47"/>
      <c r="D188" s="47"/>
      <c r="E188" s="47"/>
      <c r="F188" s="47" t="str">
        <f t="shared" si="6"/>
        <v/>
      </c>
      <c r="G188" s="47"/>
      <c r="H188" s="70"/>
      <c r="I188" s="47" t="str">
        <f t="shared" ca="1" si="7"/>
        <v/>
      </c>
      <c r="J188" s="47"/>
      <c r="K188" s="47"/>
      <c r="L188" s="47"/>
      <c r="M188" s="47"/>
      <c r="N188" s="47"/>
      <c r="O188" s="70"/>
      <c r="P188" s="47"/>
      <c r="Q188" s="47"/>
      <c r="R188" s="47"/>
      <c r="S188" s="47"/>
      <c r="T188" s="70"/>
      <c r="U188" s="47"/>
      <c r="V188" s="47"/>
      <c r="W188" s="47" t="str">
        <f t="shared" si="9"/>
        <v/>
      </c>
    </row>
    <row r="189" spans="1:23" ht="15" customHeight="1" x14ac:dyDescent="0.25">
      <c r="A189" s="47"/>
      <c r="B189" s="47"/>
      <c r="C189" s="47"/>
      <c r="D189" s="47"/>
      <c r="E189" s="47"/>
      <c r="F189" s="47" t="str">
        <f t="shared" si="6"/>
        <v/>
      </c>
      <c r="G189" s="47"/>
      <c r="H189" s="70"/>
      <c r="I189" s="47" t="str">
        <f t="shared" ca="1" si="7"/>
        <v/>
      </c>
      <c r="J189" s="47"/>
      <c r="K189" s="47"/>
      <c r="L189" s="47"/>
      <c r="M189" s="47"/>
      <c r="N189" s="47"/>
      <c r="O189" s="70"/>
      <c r="P189" s="47"/>
      <c r="Q189" s="47"/>
      <c r="R189" s="47"/>
      <c r="S189" s="47"/>
      <c r="T189" s="70"/>
      <c r="U189" s="47"/>
      <c r="V189" s="47"/>
      <c r="W189" s="47" t="str">
        <f t="shared" si="9"/>
        <v/>
      </c>
    </row>
    <row r="190" spans="1:23" ht="15" customHeight="1" x14ac:dyDescent="0.25">
      <c r="A190" s="47"/>
      <c r="B190" s="47"/>
      <c r="C190" s="47"/>
      <c r="D190" s="47"/>
      <c r="E190" s="47"/>
      <c r="F190" s="47" t="str">
        <f t="shared" si="6"/>
        <v/>
      </c>
      <c r="G190" s="47"/>
      <c r="H190" s="70"/>
      <c r="I190" s="47" t="str">
        <f t="shared" ca="1" si="7"/>
        <v/>
      </c>
      <c r="J190" s="47"/>
      <c r="K190" s="47"/>
      <c r="L190" s="47"/>
      <c r="M190" s="47"/>
      <c r="N190" s="47"/>
      <c r="O190" s="70"/>
      <c r="P190" s="47"/>
      <c r="Q190" s="47"/>
      <c r="R190" s="47"/>
      <c r="S190" s="47"/>
      <c r="T190" s="70"/>
      <c r="U190" s="47"/>
      <c r="V190" s="47"/>
      <c r="W190" s="47" t="str">
        <f t="shared" si="9"/>
        <v/>
      </c>
    </row>
    <row r="191" spans="1:23" ht="15" customHeight="1" x14ac:dyDescent="0.25">
      <c r="A191" s="47"/>
      <c r="B191" s="47"/>
      <c r="C191" s="47"/>
      <c r="D191" s="47"/>
      <c r="E191" s="47"/>
      <c r="F191" s="47" t="str">
        <f t="shared" si="6"/>
        <v/>
      </c>
      <c r="G191" s="47"/>
      <c r="H191" s="70"/>
      <c r="I191" s="47" t="str">
        <f t="shared" ca="1" si="7"/>
        <v/>
      </c>
      <c r="J191" s="47"/>
      <c r="K191" s="47"/>
      <c r="L191" s="47"/>
      <c r="M191" s="47"/>
      <c r="N191" s="47"/>
      <c r="O191" s="70"/>
      <c r="P191" s="47"/>
      <c r="Q191" s="47"/>
      <c r="R191" s="47"/>
      <c r="S191" s="47"/>
      <c r="T191" s="70"/>
      <c r="U191" s="47"/>
      <c r="V191" s="47"/>
      <c r="W191" s="47" t="str">
        <f t="shared" si="9"/>
        <v/>
      </c>
    </row>
    <row r="192" spans="1:23" ht="15" customHeight="1" x14ac:dyDescent="0.25">
      <c r="A192" s="47"/>
      <c r="B192" s="47"/>
      <c r="C192" s="47"/>
      <c r="D192" s="47"/>
      <c r="E192" s="47"/>
      <c r="F192" s="47" t="str">
        <f t="shared" si="6"/>
        <v/>
      </c>
      <c r="G192" s="47"/>
      <c r="H192" s="70"/>
      <c r="I192" s="47" t="str">
        <f t="shared" ca="1" si="7"/>
        <v/>
      </c>
      <c r="J192" s="47"/>
      <c r="K192" s="47"/>
      <c r="L192" s="47"/>
      <c r="M192" s="47"/>
      <c r="N192" s="47"/>
      <c r="O192" s="70"/>
      <c r="P192" s="47"/>
      <c r="Q192" s="47"/>
      <c r="R192" s="47"/>
      <c r="S192" s="47"/>
      <c r="T192" s="70"/>
      <c r="U192" s="47"/>
      <c r="V192" s="47"/>
      <c r="W192" s="47" t="str">
        <f t="shared" si="9"/>
        <v/>
      </c>
    </row>
    <row r="193" spans="1:23" ht="15" customHeight="1" x14ac:dyDescent="0.25">
      <c r="A193" s="47"/>
      <c r="B193" s="47"/>
      <c r="C193" s="47"/>
      <c r="D193" s="47"/>
      <c r="E193" s="47"/>
      <c r="F193" s="47" t="str">
        <f t="shared" si="6"/>
        <v/>
      </c>
      <c r="G193" s="47"/>
      <c r="H193" s="70"/>
      <c r="I193" s="47" t="str">
        <f t="shared" ca="1" si="7"/>
        <v/>
      </c>
      <c r="J193" s="47"/>
      <c r="K193" s="47"/>
      <c r="L193" s="47"/>
      <c r="M193" s="47"/>
      <c r="N193" s="47"/>
      <c r="O193" s="70"/>
      <c r="P193" s="47"/>
      <c r="Q193" s="47"/>
      <c r="R193" s="47"/>
      <c r="S193" s="47"/>
      <c r="T193" s="70"/>
      <c r="U193" s="47"/>
      <c r="V193" s="47"/>
      <c r="W193" s="47" t="str">
        <f t="shared" si="9"/>
        <v/>
      </c>
    </row>
    <row r="194" spans="1:23" ht="15" customHeight="1" x14ac:dyDescent="0.25">
      <c r="A194" s="47"/>
      <c r="B194" s="47"/>
      <c r="C194" s="47"/>
      <c r="D194" s="47"/>
      <c r="E194" s="47"/>
      <c r="F194" s="47" t="str">
        <f t="shared" si="6"/>
        <v/>
      </c>
      <c r="G194" s="47"/>
      <c r="H194" s="70"/>
      <c r="I194" s="47" t="str">
        <f t="shared" ca="1" si="7"/>
        <v/>
      </c>
      <c r="J194" s="47"/>
      <c r="K194" s="47"/>
      <c r="L194" s="47"/>
      <c r="M194" s="47"/>
      <c r="N194" s="47"/>
      <c r="O194" s="70"/>
      <c r="P194" s="47"/>
      <c r="Q194" s="47"/>
      <c r="R194" s="47"/>
      <c r="S194" s="47"/>
      <c r="T194" s="70"/>
      <c r="U194" s="47"/>
      <c r="V194" s="47"/>
      <c r="W194" s="47" t="str">
        <f t="shared" si="9"/>
        <v/>
      </c>
    </row>
    <row r="195" spans="1:23" ht="15" customHeight="1" x14ac:dyDescent="0.25">
      <c r="A195" s="47"/>
      <c r="B195" s="47"/>
      <c r="C195" s="47"/>
      <c r="D195" s="47"/>
      <c r="E195" s="47"/>
      <c r="F195" s="47" t="str">
        <f t="shared" si="6"/>
        <v/>
      </c>
      <c r="G195" s="47"/>
      <c r="H195" s="70"/>
      <c r="I195" s="47" t="str">
        <f t="shared" ca="1" si="7"/>
        <v/>
      </c>
      <c r="J195" s="47"/>
      <c r="K195" s="47"/>
      <c r="L195" s="47"/>
      <c r="M195" s="47"/>
      <c r="N195" s="47"/>
      <c r="O195" s="70"/>
      <c r="P195" s="47"/>
      <c r="Q195" s="47"/>
      <c r="R195" s="47"/>
      <c r="S195" s="47"/>
      <c r="T195" s="70"/>
      <c r="U195" s="47"/>
      <c r="V195" s="47"/>
      <c r="W195" s="47" t="str">
        <f t="shared" si="9"/>
        <v/>
      </c>
    </row>
    <row r="196" spans="1:23" ht="15" customHeight="1" x14ac:dyDescent="0.25">
      <c r="A196" s="47"/>
      <c r="B196" s="47"/>
      <c r="C196" s="47"/>
      <c r="D196" s="47"/>
      <c r="E196" s="47"/>
      <c r="F196" s="47" t="str">
        <f t="shared" si="6"/>
        <v/>
      </c>
      <c r="G196" s="47"/>
      <c r="H196" s="70"/>
      <c r="I196" s="47" t="str">
        <f t="shared" ca="1" si="7"/>
        <v/>
      </c>
      <c r="J196" s="47"/>
      <c r="K196" s="47"/>
      <c r="L196" s="47"/>
      <c r="M196" s="47"/>
      <c r="N196" s="47"/>
      <c r="O196" s="70"/>
      <c r="P196" s="47"/>
      <c r="Q196" s="47"/>
      <c r="R196" s="47"/>
      <c r="S196" s="47"/>
      <c r="T196" s="70"/>
      <c r="U196" s="47"/>
      <c r="V196" s="47"/>
      <c r="W196" s="47" t="str">
        <f t="shared" si="9"/>
        <v/>
      </c>
    </row>
    <row r="197" spans="1:23" ht="15" customHeight="1" x14ac:dyDescent="0.25">
      <c r="A197" s="47"/>
      <c r="B197" s="47"/>
      <c r="C197" s="47"/>
      <c r="D197" s="47"/>
      <c r="E197" s="47"/>
      <c r="F197" s="47" t="str">
        <f t="shared" si="6"/>
        <v/>
      </c>
      <c r="G197" s="47"/>
      <c r="H197" s="70"/>
      <c r="I197" s="47" t="str">
        <f t="shared" ca="1" si="7"/>
        <v/>
      </c>
      <c r="J197" s="47"/>
      <c r="K197" s="47"/>
      <c r="L197" s="47"/>
      <c r="M197" s="47"/>
      <c r="N197" s="47"/>
      <c r="O197" s="70"/>
      <c r="P197" s="47"/>
      <c r="Q197" s="47"/>
      <c r="R197" s="47"/>
      <c r="S197" s="47"/>
      <c r="T197" s="70"/>
      <c r="U197" s="47"/>
      <c r="V197" s="47"/>
      <c r="W197" s="47" t="str">
        <f t="shared" si="9"/>
        <v/>
      </c>
    </row>
    <row r="198" spans="1:23" ht="15" customHeight="1" x14ac:dyDescent="0.25">
      <c r="A198" s="47"/>
      <c r="B198" s="47"/>
      <c r="C198" s="47"/>
      <c r="D198" s="47"/>
      <c r="E198" s="47"/>
      <c r="F198" s="47" t="str">
        <f t="shared" ref="F198:F261" si="10">TRIM(D198&amp;" "&amp;E198&amp;" "&amp;C198)</f>
        <v/>
      </c>
      <c r="G198" s="47"/>
      <c r="H198" s="70"/>
      <c r="I198" s="47" t="str">
        <f t="shared" ref="I198:I261" ca="1" si="11">IF(H198="","",DATEDIF(H198,TODAY(),"Y"))</f>
        <v/>
      </c>
      <c r="J198" s="47"/>
      <c r="K198" s="47"/>
      <c r="L198" s="47"/>
      <c r="M198" s="47"/>
      <c r="N198" s="47"/>
      <c r="O198" s="70"/>
      <c r="P198" s="47"/>
      <c r="Q198" s="47"/>
      <c r="R198" s="47"/>
      <c r="S198" s="47"/>
      <c r="T198" s="70"/>
      <c r="U198" s="47"/>
      <c r="V198" s="47"/>
      <c r="W198" s="47" t="str">
        <f t="shared" si="9"/>
        <v/>
      </c>
    </row>
    <row r="199" spans="1:23" ht="15" customHeight="1" x14ac:dyDescent="0.25">
      <c r="A199" s="47"/>
      <c r="B199" s="47"/>
      <c r="C199" s="47"/>
      <c r="D199" s="47"/>
      <c r="E199" s="47"/>
      <c r="F199" s="47" t="str">
        <f t="shared" si="10"/>
        <v/>
      </c>
      <c r="G199" s="47"/>
      <c r="H199" s="70"/>
      <c r="I199" s="47" t="str">
        <f t="shared" ca="1" si="11"/>
        <v/>
      </c>
      <c r="J199" s="47"/>
      <c r="K199" s="47"/>
      <c r="L199" s="47"/>
      <c r="M199" s="47"/>
      <c r="N199" s="47"/>
      <c r="O199" s="70"/>
      <c r="P199" s="47"/>
      <c r="Q199" s="47"/>
      <c r="R199" s="47"/>
      <c r="S199" s="47"/>
      <c r="T199" s="70"/>
      <c r="U199" s="47"/>
      <c r="V199" s="47"/>
      <c r="W199" s="47" t="str">
        <f t="shared" si="9"/>
        <v/>
      </c>
    </row>
    <row r="200" spans="1:23" ht="15" customHeight="1" x14ac:dyDescent="0.25">
      <c r="A200" s="47"/>
      <c r="B200" s="47"/>
      <c r="C200" s="47"/>
      <c r="D200" s="47"/>
      <c r="E200" s="47"/>
      <c r="F200" s="47" t="str">
        <f t="shared" si="10"/>
        <v/>
      </c>
      <c r="G200" s="47"/>
      <c r="H200" s="70"/>
      <c r="I200" s="47" t="str">
        <f t="shared" ca="1" si="11"/>
        <v/>
      </c>
      <c r="J200" s="47"/>
      <c r="K200" s="47"/>
      <c r="L200" s="47"/>
      <c r="M200" s="47"/>
      <c r="N200" s="47"/>
      <c r="O200" s="70"/>
      <c r="P200" s="47"/>
      <c r="Q200" s="47"/>
      <c r="R200" s="47"/>
      <c r="S200" s="47"/>
      <c r="T200" s="70"/>
      <c r="U200" s="47"/>
      <c r="V200" s="47"/>
      <c r="W200" s="47" t="str">
        <f t="shared" si="9"/>
        <v/>
      </c>
    </row>
    <row r="201" spans="1:23" ht="15" customHeight="1" x14ac:dyDescent="0.25">
      <c r="A201" s="47"/>
      <c r="B201" s="47"/>
      <c r="C201" s="47"/>
      <c r="D201" s="47"/>
      <c r="E201" s="47"/>
      <c r="F201" s="47" t="str">
        <f t="shared" si="10"/>
        <v/>
      </c>
      <c r="G201" s="47"/>
      <c r="H201" s="70"/>
      <c r="I201" s="47" t="str">
        <f t="shared" ca="1" si="11"/>
        <v/>
      </c>
      <c r="J201" s="47"/>
      <c r="K201" s="47"/>
      <c r="L201" s="47"/>
      <c r="M201" s="47"/>
      <c r="N201" s="47"/>
      <c r="O201" s="70"/>
      <c r="P201" s="47"/>
      <c r="Q201" s="47"/>
      <c r="R201" s="47"/>
      <c r="S201" s="47"/>
      <c r="T201" s="70"/>
      <c r="U201" s="47"/>
      <c r="V201" s="47"/>
      <c r="W201" s="47" t="str">
        <f t="shared" si="9"/>
        <v/>
      </c>
    </row>
    <row r="202" spans="1:23" ht="15" customHeight="1" x14ac:dyDescent="0.25">
      <c r="A202" s="47"/>
      <c r="B202" s="47"/>
      <c r="C202" s="47"/>
      <c r="D202" s="47"/>
      <c r="E202" s="47"/>
      <c r="F202" s="47" t="str">
        <f t="shared" si="10"/>
        <v/>
      </c>
      <c r="G202" s="47"/>
      <c r="H202" s="70"/>
      <c r="I202" s="47" t="str">
        <f t="shared" ca="1" si="11"/>
        <v/>
      </c>
      <c r="J202" s="47"/>
      <c r="K202" s="47"/>
      <c r="L202" s="47"/>
      <c r="M202" s="47"/>
      <c r="N202" s="47"/>
      <c r="O202" s="70"/>
      <c r="P202" s="47"/>
      <c r="Q202" s="47"/>
      <c r="R202" s="47"/>
      <c r="S202" s="47"/>
      <c r="T202" s="70"/>
      <c r="U202" s="47"/>
      <c r="V202" s="47"/>
      <c r="W202" s="47" t="str">
        <f t="shared" si="9"/>
        <v/>
      </c>
    </row>
    <row r="203" spans="1:23" ht="15" customHeight="1" x14ac:dyDescent="0.25">
      <c r="A203" s="47"/>
      <c r="B203" s="47"/>
      <c r="C203" s="47"/>
      <c r="D203" s="47"/>
      <c r="E203" s="47"/>
      <c r="F203" s="47" t="str">
        <f t="shared" si="10"/>
        <v/>
      </c>
      <c r="G203" s="47"/>
      <c r="H203" s="70"/>
      <c r="I203" s="47" t="str">
        <f t="shared" ca="1" si="11"/>
        <v/>
      </c>
      <c r="J203" s="47"/>
      <c r="K203" s="47"/>
      <c r="L203" s="47"/>
      <c r="M203" s="47"/>
      <c r="N203" s="47"/>
      <c r="O203" s="70"/>
      <c r="P203" s="47"/>
      <c r="Q203" s="47"/>
      <c r="R203" s="47"/>
      <c r="S203" s="47"/>
      <c r="T203" s="70"/>
      <c r="U203" s="47"/>
      <c r="V203" s="47"/>
      <c r="W203" s="47" t="str">
        <f t="shared" si="9"/>
        <v/>
      </c>
    </row>
    <row r="204" spans="1:23" ht="15" customHeight="1" x14ac:dyDescent="0.25">
      <c r="A204" s="47"/>
      <c r="B204" s="47"/>
      <c r="C204" s="47"/>
      <c r="D204" s="47"/>
      <c r="E204" s="47"/>
      <c r="F204" s="47" t="str">
        <f t="shared" si="10"/>
        <v/>
      </c>
      <c r="G204" s="47"/>
      <c r="H204" s="70"/>
      <c r="I204" s="47" t="str">
        <f t="shared" ca="1" si="11"/>
        <v/>
      </c>
      <c r="J204" s="47"/>
      <c r="K204" s="47"/>
      <c r="L204" s="47"/>
      <c r="M204" s="47"/>
      <c r="N204" s="47"/>
      <c r="O204" s="70"/>
      <c r="P204" s="47"/>
      <c r="Q204" s="47"/>
      <c r="R204" s="47"/>
      <c r="S204" s="47"/>
      <c r="T204" s="70"/>
      <c r="U204" s="47"/>
      <c r="V204" s="47"/>
      <c r="W204" s="47" t="str">
        <f t="shared" si="9"/>
        <v/>
      </c>
    </row>
    <row r="205" spans="1:23" ht="15" customHeight="1" x14ac:dyDescent="0.25">
      <c r="A205" s="47"/>
      <c r="B205" s="47"/>
      <c r="C205" s="47"/>
      <c r="D205" s="47"/>
      <c r="E205" s="47"/>
      <c r="F205" s="47" t="str">
        <f t="shared" si="10"/>
        <v/>
      </c>
      <c r="G205" s="47"/>
      <c r="H205" s="70"/>
      <c r="I205" s="47" t="str">
        <f t="shared" ca="1" si="11"/>
        <v/>
      </c>
      <c r="J205" s="47"/>
      <c r="K205" s="47"/>
      <c r="L205" s="47"/>
      <c r="M205" s="47"/>
      <c r="N205" s="47"/>
      <c r="O205" s="70"/>
      <c r="P205" s="47"/>
      <c r="Q205" s="47"/>
      <c r="R205" s="47"/>
      <c r="S205" s="47"/>
      <c r="T205" s="70"/>
      <c r="U205" s="47"/>
      <c r="V205" s="47"/>
      <c r="W205" s="47" t="str">
        <f t="shared" si="9"/>
        <v/>
      </c>
    </row>
    <row r="206" spans="1:23" ht="15" customHeight="1" x14ac:dyDescent="0.25">
      <c r="A206" s="47"/>
      <c r="B206" s="47"/>
      <c r="C206" s="47"/>
      <c r="D206" s="47"/>
      <c r="E206" s="47"/>
      <c r="F206" s="47" t="str">
        <f t="shared" si="10"/>
        <v/>
      </c>
      <c r="G206" s="47"/>
      <c r="H206" s="70"/>
      <c r="I206" s="47" t="str">
        <f t="shared" ca="1" si="11"/>
        <v/>
      </c>
      <c r="J206" s="47"/>
      <c r="K206" s="47"/>
      <c r="L206" s="47"/>
      <c r="M206" s="47"/>
      <c r="N206" s="47"/>
      <c r="O206" s="70"/>
      <c r="P206" s="47"/>
      <c r="Q206" s="47"/>
      <c r="R206" s="47"/>
      <c r="S206" s="47"/>
      <c r="T206" s="70"/>
      <c r="U206" s="47"/>
      <c r="V206" s="47"/>
      <c r="W206" s="47" t="str">
        <f t="shared" si="9"/>
        <v/>
      </c>
    </row>
    <row r="207" spans="1:23" ht="15" customHeight="1" x14ac:dyDescent="0.25">
      <c r="A207" s="47"/>
      <c r="B207" s="47"/>
      <c r="C207" s="47"/>
      <c r="D207" s="47"/>
      <c r="E207" s="47"/>
      <c r="F207" s="47" t="str">
        <f t="shared" si="10"/>
        <v/>
      </c>
      <c r="G207" s="47"/>
      <c r="H207" s="70"/>
      <c r="I207" s="47" t="str">
        <f t="shared" ca="1" si="11"/>
        <v/>
      </c>
      <c r="J207" s="47"/>
      <c r="K207" s="47"/>
      <c r="L207" s="47"/>
      <c r="M207" s="47"/>
      <c r="N207" s="47"/>
      <c r="O207" s="70"/>
      <c r="P207" s="47"/>
      <c r="Q207" s="47"/>
      <c r="R207" s="47"/>
      <c r="S207" s="47"/>
      <c r="T207" s="70"/>
      <c r="U207" s="47"/>
      <c r="V207" s="47"/>
      <c r="W207" s="47" t="str">
        <f t="shared" si="9"/>
        <v/>
      </c>
    </row>
    <row r="208" spans="1:23" ht="15" customHeight="1" x14ac:dyDescent="0.25">
      <c r="A208" s="47"/>
      <c r="B208" s="47"/>
      <c r="C208" s="47"/>
      <c r="D208" s="47"/>
      <c r="E208" s="47"/>
      <c r="F208" s="47" t="str">
        <f t="shared" si="10"/>
        <v/>
      </c>
      <c r="G208" s="47"/>
      <c r="H208" s="70"/>
      <c r="I208" s="47" t="str">
        <f t="shared" ca="1" si="11"/>
        <v/>
      </c>
      <c r="J208" s="47"/>
      <c r="K208" s="47"/>
      <c r="L208" s="47"/>
      <c r="M208" s="47"/>
      <c r="N208" s="47"/>
      <c r="O208" s="70"/>
      <c r="P208" s="47"/>
      <c r="Q208" s="47"/>
      <c r="R208" s="47"/>
      <c r="S208" s="47"/>
      <c r="T208" s="70"/>
      <c r="U208" s="47"/>
      <c r="V208" s="47"/>
      <c r="W208" s="47" t="str">
        <f t="shared" si="9"/>
        <v/>
      </c>
    </row>
    <row r="209" spans="1:23" ht="15" customHeight="1" x14ac:dyDescent="0.25">
      <c r="A209" s="47"/>
      <c r="B209" s="47"/>
      <c r="C209" s="47"/>
      <c r="D209" s="47"/>
      <c r="E209" s="47"/>
      <c r="F209" s="47" t="str">
        <f t="shared" si="10"/>
        <v/>
      </c>
      <c r="G209" s="47"/>
      <c r="H209" s="70"/>
      <c r="I209" s="47" t="str">
        <f t="shared" ca="1" si="11"/>
        <v/>
      </c>
      <c r="J209" s="47"/>
      <c r="K209" s="47"/>
      <c r="L209" s="47"/>
      <c r="M209" s="47"/>
      <c r="N209" s="47"/>
      <c r="O209" s="70"/>
      <c r="P209" s="47"/>
      <c r="Q209" s="47"/>
      <c r="R209" s="47"/>
      <c r="S209" s="47"/>
      <c r="T209" s="70"/>
      <c r="U209" s="47"/>
      <c r="V209" s="47"/>
      <c r="W209" s="47" t="str">
        <f t="shared" si="9"/>
        <v/>
      </c>
    </row>
    <row r="210" spans="1:23" ht="15" customHeight="1" x14ac:dyDescent="0.25">
      <c r="A210" s="47"/>
      <c r="B210" s="47"/>
      <c r="C210" s="47"/>
      <c r="D210" s="47"/>
      <c r="E210" s="47"/>
      <c r="F210" s="47" t="str">
        <f t="shared" si="10"/>
        <v/>
      </c>
      <c r="G210" s="47"/>
      <c r="H210" s="70"/>
      <c r="I210" s="47" t="str">
        <f t="shared" ca="1" si="11"/>
        <v/>
      </c>
      <c r="J210" s="47"/>
      <c r="K210" s="47"/>
      <c r="L210" s="47"/>
      <c r="M210" s="47"/>
      <c r="N210" s="47"/>
      <c r="O210" s="70"/>
      <c r="P210" s="47"/>
      <c r="Q210" s="47"/>
      <c r="R210" s="47"/>
      <c r="S210" s="47"/>
      <c r="T210" s="70"/>
      <c r="U210" s="47"/>
      <c r="V210" s="47"/>
      <c r="W210" s="47" t="str">
        <f t="shared" si="9"/>
        <v/>
      </c>
    </row>
    <row r="211" spans="1:23" ht="15" customHeight="1" x14ac:dyDescent="0.25">
      <c r="A211" s="47"/>
      <c r="B211" s="47"/>
      <c r="C211" s="47"/>
      <c r="D211" s="47"/>
      <c r="E211" s="47"/>
      <c r="F211" s="47" t="str">
        <f t="shared" si="10"/>
        <v/>
      </c>
      <c r="G211" s="47"/>
      <c r="H211" s="70"/>
      <c r="I211" s="47" t="str">
        <f t="shared" ca="1" si="11"/>
        <v/>
      </c>
      <c r="J211" s="47"/>
      <c r="K211" s="47"/>
      <c r="L211" s="47"/>
      <c r="M211" s="47"/>
      <c r="N211" s="47"/>
      <c r="O211" s="70"/>
      <c r="P211" s="47"/>
      <c r="Q211" s="47"/>
      <c r="R211" s="47"/>
      <c r="S211" s="47"/>
      <c r="T211" s="70"/>
      <c r="U211" s="47"/>
      <c r="V211" s="47"/>
      <c r="W211" s="47" t="str">
        <f t="shared" si="9"/>
        <v/>
      </c>
    </row>
    <row r="212" spans="1:23" ht="15" customHeight="1" x14ac:dyDescent="0.25">
      <c r="A212" s="47"/>
      <c r="B212" s="47"/>
      <c r="C212" s="47"/>
      <c r="D212" s="47"/>
      <c r="E212" s="47"/>
      <c r="F212" s="47" t="str">
        <f t="shared" si="10"/>
        <v/>
      </c>
      <c r="G212" s="47"/>
      <c r="H212" s="70"/>
      <c r="I212" s="47" t="str">
        <f t="shared" ca="1" si="11"/>
        <v/>
      </c>
      <c r="J212" s="47"/>
      <c r="K212" s="47"/>
      <c r="L212" s="47"/>
      <c r="M212" s="47"/>
      <c r="N212" s="47"/>
      <c r="O212" s="70"/>
      <c r="P212" s="47"/>
      <c r="Q212" s="47"/>
      <c r="R212" s="47"/>
      <c r="S212" s="47"/>
      <c r="T212" s="70"/>
      <c r="U212" s="47"/>
      <c r="V212" s="47"/>
      <c r="W212" s="47" t="str">
        <f t="shared" si="9"/>
        <v/>
      </c>
    </row>
    <row r="213" spans="1:23" ht="15" customHeight="1" x14ac:dyDescent="0.25">
      <c r="A213" s="47"/>
      <c r="B213" s="47"/>
      <c r="C213" s="47"/>
      <c r="D213" s="47"/>
      <c r="E213" s="47"/>
      <c r="F213" s="47" t="str">
        <f t="shared" si="10"/>
        <v/>
      </c>
      <c r="G213" s="47"/>
      <c r="H213" s="70"/>
      <c r="I213" s="47" t="str">
        <f t="shared" ca="1" si="11"/>
        <v/>
      </c>
      <c r="J213" s="47"/>
      <c r="K213" s="47"/>
      <c r="L213" s="47"/>
      <c r="M213" s="47"/>
      <c r="N213" s="47"/>
      <c r="O213" s="70"/>
      <c r="P213" s="47"/>
      <c r="Q213" s="47"/>
      <c r="R213" s="47"/>
      <c r="S213" s="47"/>
      <c r="T213" s="70"/>
      <c r="U213" s="47"/>
      <c r="V213" s="47"/>
      <c r="W213" s="47" t="str">
        <f t="shared" si="9"/>
        <v/>
      </c>
    </row>
    <row r="214" spans="1:23" ht="15" customHeight="1" x14ac:dyDescent="0.25">
      <c r="A214" s="47"/>
      <c r="B214" s="47"/>
      <c r="C214" s="47"/>
      <c r="D214" s="47"/>
      <c r="E214" s="47"/>
      <c r="F214" s="47" t="str">
        <f t="shared" si="10"/>
        <v/>
      </c>
      <c r="G214" s="47"/>
      <c r="H214" s="70"/>
      <c r="I214" s="47" t="str">
        <f t="shared" ca="1" si="11"/>
        <v/>
      </c>
      <c r="J214" s="47"/>
      <c r="K214" s="47"/>
      <c r="L214" s="47"/>
      <c r="M214" s="47"/>
      <c r="N214" s="47"/>
      <c r="O214" s="70"/>
      <c r="P214" s="47"/>
      <c r="Q214" s="47"/>
      <c r="R214" s="47"/>
      <c r="S214" s="47"/>
      <c r="T214" s="70"/>
      <c r="U214" s="47"/>
      <c r="V214" s="47"/>
      <c r="W214" s="47" t="str">
        <f t="shared" si="9"/>
        <v/>
      </c>
    </row>
    <row r="215" spans="1:23" ht="15" customHeight="1" x14ac:dyDescent="0.25">
      <c r="A215" s="47"/>
      <c r="B215" s="47"/>
      <c r="C215" s="47"/>
      <c r="D215" s="47"/>
      <c r="E215" s="47"/>
      <c r="F215" s="47" t="str">
        <f t="shared" si="10"/>
        <v/>
      </c>
      <c r="G215" s="47"/>
      <c r="H215" s="70"/>
      <c r="I215" s="47" t="str">
        <f t="shared" ca="1" si="11"/>
        <v/>
      </c>
      <c r="J215" s="47"/>
      <c r="K215" s="47"/>
      <c r="L215" s="47"/>
      <c r="M215" s="47"/>
      <c r="N215" s="47"/>
      <c r="O215" s="70"/>
      <c r="P215" s="47"/>
      <c r="Q215" s="47"/>
      <c r="R215" s="47"/>
      <c r="S215" s="47"/>
      <c r="T215" s="70"/>
      <c r="U215" s="47"/>
      <c r="V215" s="47"/>
      <c r="W215" s="47" t="str">
        <f t="shared" ref="W215:W230" si="12">IF(B215="","",IF(OR(J215="",K215=""),"Missing Grade/Section","OK"))</f>
        <v/>
      </c>
    </row>
    <row r="216" spans="1:23" ht="15" customHeight="1" x14ac:dyDescent="0.25">
      <c r="A216" s="47"/>
      <c r="B216" s="47"/>
      <c r="C216" s="47"/>
      <c r="D216" s="47"/>
      <c r="E216" s="47"/>
      <c r="F216" s="47" t="str">
        <f t="shared" si="10"/>
        <v/>
      </c>
      <c r="G216" s="47"/>
      <c r="H216" s="70"/>
      <c r="I216" s="47" t="str">
        <f t="shared" ca="1" si="11"/>
        <v/>
      </c>
      <c r="J216" s="47"/>
      <c r="K216" s="47"/>
      <c r="L216" s="47"/>
      <c r="M216" s="47"/>
      <c r="N216" s="47"/>
      <c r="O216" s="70"/>
      <c r="P216" s="47"/>
      <c r="Q216" s="47"/>
      <c r="R216" s="47"/>
      <c r="S216" s="47"/>
      <c r="T216" s="70"/>
      <c r="U216" s="47"/>
      <c r="V216" s="47"/>
      <c r="W216" s="47" t="str">
        <f t="shared" si="12"/>
        <v/>
      </c>
    </row>
    <row r="217" spans="1:23" ht="15" customHeight="1" x14ac:dyDescent="0.25">
      <c r="A217" s="47"/>
      <c r="B217" s="47"/>
      <c r="C217" s="47"/>
      <c r="D217" s="47"/>
      <c r="E217" s="47"/>
      <c r="F217" s="47" t="str">
        <f t="shared" si="10"/>
        <v/>
      </c>
      <c r="G217" s="47"/>
      <c r="H217" s="70"/>
      <c r="I217" s="47" t="str">
        <f t="shared" ca="1" si="11"/>
        <v/>
      </c>
      <c r="J217" s="47"/>
      <c r="K217" s="47"/>
      <c r="L217" s="47"/>
      <c r="M217" s="47"/>
      <c r="N217" s="47"/>
      <c r="O217" s="70"/>
      <c r="P217" s="47"/>
      <c r="Q217" s="47"/>
      <c r="R217" s="47"/>
      <c r="S217" s="47"/>
      <c r="T217" s="70"/>
      <c r="U217" s="47"/>
      <c r="V217" s="47"/>
      <c r="W217" s="47" t="str">
        <f t="shared" si="12"/>
        <v/>
      </c>
    </row>
    <row r="218" spans="1:23" ht="15" customHeight="1" x14ac:dyDescent="0.25">
      <c r="A218" s="47"/>
      <c r="B218" s="47"/>
      <c r="C218" s="47"/>
      <c r="D218" s="47"/>
      <c r="E218" s="47"/>
      <c r="F218" s="47" t="str">
        <f t="shared" si="10"/>
        <v/>
      </c>
      <c r="G218" s="47"/>
      <c r="H218" s="70"/>
      <c r="I218" s="47" t="str">
        <f t="shared" ca="1" si="11"/>
        <v/>
      </c>
      <c r="J218" s="47"/>
      <c r="K218" s="47"/>
      <c r="L218" s="47"/>
      <c r="M218" s="47"/>
      <c r="N218" s="47"/>
      <c r="O218" s="70"/>
      <c r="P218" s="47"/>
      <c r="Q218" s="47"/>
      <c r="R218" s="47"/>
      <c r="S218" s="47"/>
      <c r="T218" s="70"/>
      <c r="U218" s="47"/>
      <c r="V218" s="47"/>
      <c r="W218" s="47" t="str">
        <f t="shared" si="12"/>
        <v/>
      </c>
    </row>
    <row r="219" spans="1:23" ht="15" customHeight="1" x14ac:dyDescent="0.25">
      <c r="A219" s="47"/>
      <c r="B219" s="47"/>
      <c r="C219" s="47"/>
      <c r="D219" s="47"/>
      <c r="E219" s="47"/>
      <c r="F219" s="47" t="str">
        <f t="shared" si="10"/>
        <v/>
      </c>
      <c r="G219" s="47"/>
      <c r="H219" s="70"/>
      <c r="I219" s="47" t="str">
        <f t="shared" ca="1" si="11"/>
        <v/>
      </c>
      <c r="J219" s="47"/>
      <c r="K219" s="47"/>
      <c r="L219" s="47"/>
      <c r="M219" s="47"/>
      <c r="N219" s="47"/>
      <c r="O219" s="70"/>
      <c r="P219" s="47"/>
      <c r="Q219" s="47"/>
      <c r="R219" s="47"/>
      <c r="S219" s="47"/>
      <c r="T219" s="70"/>
      <c r="U219" s="47"/>
      <c r="V219" s="47"/>
      <c r="W219" s="47" t="str">
        <f t="shared" si="12"/>
        <v/>
      </c>
    </row>
    <row r="220" spans="1:23" ht="15" customHeight="1" x14ac:dyDescent="0.25">
      <c r="A220" s="47"/>
      <c r="B220" s="47"/>
      <c r="C220" s="47"/>
      <c r="D220" s="47"/>
      <c r="E220" s="47"/>
      <c r="F220" s="47" t="str">
        <f t="shared" si="10"/>
        <v/>
      </c>
      <c r="G220" s="47"/>
      <c r="H220" s="70"/>
      <c r="I220" s="47" t="str">
        <f t="shared" ca="1" si="11"/>
        <v/>
      </c>
      <c r="J220" s="47"/>
      <c r="K220" s="47"/>
      <c r="L220" s="47"/>
      <c r="M220" s="47"/>
      <c r="N220" s="47"/>
      <c r="O220" s="70"/>
      <c r="P220" s="47"/>
      <c r="Q220" s="47"/>
      <c r="R220" s="47"/>
      <c r="S220" s="47"/>
      <c r="T220" s="70"/>
      <c r="U220" s="47"/>
      <c r="V220" s="47"/>
      <c r="W220" s="47" t="str">
        <f t="shared" si="12"/>
        <v/>
      </c>
    </row>
    <row r="221" spans="1:23" ht="15" customHeight="1" x14ac:dyDescent="0.25">
      <c r="A221" s="47"/>
      <c r="B221" s="47"/>
      <c r="C221" s="47"/>
      <c r="D221" s="47"/>
      <c r="E221" s="47"/>
      <c r="F221" s="47" t="str">
        <f t="shared" si="10"/>
        <v/>
      </c>
      <c r="G221" s="47"/>
      <c r="H221" s="70"/>
      <c r="I221" s="47" t="str">
        <f t="shared" ca="1" si="11"/>
        <v/>
      </c>
      <c r="J221" s="47"/>
      <c r="K221" s="47"/>
      <c r="L221" s="47"/>
      <c r="M221" s="47"/>
      <c r="N221" s="47"/>
      <c r="O221" s="70"/>
      <c r="P221" s="47"/>
      <c r="Q221" s="47"/>
      <c r="R221" s="47"/>
      <c r="S221" s="47"/>
      <c r="T221" s="70"/>
      <c r="U221" s="47"/>
      <c r="V221" s="47"/>
      <c r="W221" s="47" t="str">
        <f t="shared" si="12"/>
        <v/>
      </c>
    </row>
    <row r="222" spans="1:23" ht="15" customHeight="1" x14ac:dyDescent="0.25">
      <c r="A222" s="47"/>
      <c r="B222" s="47"/>
      <c r="C222" s="47"/>
      <c r="D222" s="47"/>
      <c r="E222" s="47"/>
      <c r="F222" s="47" t="str">
        <f t="shared" si="10"/>
        <v/>
      </c>
      <c r="G222" s="47"/>
      <c r="H222" s="70"/>
      <c r="I222" s="47" t="str">
        <f t="shared" ca="1" si="11"/>
        <v/>
      </c>
      <c r="J222" s="47"/>
      <c r="K222" s="47"/>
      <c r="L222" s="47"/>
      <c r="M222" s="47"/>
      <c r="N222" s="47"/>
      <c r="O222" s="70"/>
      <c r="P222" s="47"/>
      <c r="Q222" s="47"/>
      <c r="R222" s="47"/>
      <c r="S222" s="47"/>
      <c r="T222" s="70"/>
      <c r="U222" s="47"/>
      <c r="V222" s="47"/>
      <c r="W222" s="47" t="str">
        <f t="shared" si="12"/>
        <v/>
      </c>
    </row>
    <row r="223" spans="1:23" ht="15" customHeight="1" x14ac:dyDescent="0.25">
      <c r="A223" s="47"/>
      <c r="B223" s="47"/>
      <c r="C223" s="47"/>
      <c r="D223" s="47"/>
      <c r="E223" s="47"/>
      <c r="F223" s="47" t="str">
        <f t="shared" si="10"/>
        <v/>
      </c>
      <c r="G223" s="47"/>
      <c r="H223" s="70"/>
      <c r="I223" s="47" t="str">
        <f t="shared" ca="1" si="11"/>
        <v/>
      </c>
      <c r="J223" s="47"/>
      <c r="K223" s="47"/>
      <c r="L223" s="47"/>
      <c r="M223" s="47"/>
      <c r="N223" s="47"/>
      <c r="O223" s="70"/>
      <c r="P223" s="47"/>
      <c r="Q223" s="47"/>
      <c r="R223" s="47"/>
      <c r="S223" s="47"/>
      <c r="T223" s="70"/>
      <c r="U223" s="47"/>
      <c r="V223" s="47"/>
      <c r="W223" s="47" t="str">
        <f t="shared" si="12"/>
        <v/>
      </c>
    </row>
    <row r="224" spans="1:23" ht="15" customHeight="1" x14ac:dyDescent="0.25">
      <c r="A224" s="47"/>
      <c r="B224" s="47"/>
      <c r="C224" s="47"/>
      <c r="D224" s="47"/>
      <c r="E224" s="47"/>
      <c r="F224" s="47" t="str">
        <f t="shared" si="10"/>
        <v/>
      </c>
      <c r="G224" s="47"/>
      <c r="H224" s="70"/>
      <c r="I224" s="47" t="str">
        <f t="shared" ca="1" si="11"/>
        <v/>
      </c>
      <c r="J224" s="47"/>
      <c r="K224" s="47"/>
      <c r="L224" s="47"/>
      <c r="M224" s="47"/>
      <c r="N224" s="47"/>
      <c r="O224" s="70"/>
      <c r="P224" s="47"/>
      <c r="Q224" s="47"/>
      <c r="R224" s="47"/>
      <c r="S224" s="47"/>
      <c r="T224" s="70"/>
      <c r="U224" s="47"/>
      <c r="V224" s="47"/>
      <c r="W224" s="47" t="str">
        <f t="shared" si="12"/>
        <v/>
      </c>
    </row>
    <row r="225" spans="1:23" ht="15" customHeight="1" x14ac:dyDescent="0.25">
      <c r="A225" s="47"/>
      <c r="B225" s="47"/>
      <c r="C225" s="47"/>
      <c r="D225" s="47"/>
      <c r="E225" s="47"/>
      <c r="F225" s="47" t="str">
        <f t="shared" si="10"/>
        <v/>
      </c>
      <c r="G225" s="47"/>
      <c r="H225" s="70"/>
      <c r="I225" s="47" t="str">
        <f t="shared" ca="1" si="11"/>
        <v/>
      </c>
      <c r="J225" s="47"/>
      <c r="K225" s="47"/>
      <c r="L225" s="47"/>
      <c r="M225" s="47"/>
      <c r="N225" s="47"/>
      <c r="O225" s="70"/>
      <c r="P225" s="47"/>
      <c r="Q225" s="47"/>
      <c r="R225" s="47"/>
      <c r="S225" s="47"/>
      <c r="T225" s="70"/>
      <c r="U225" s="47"/>
      <c r="V225" s="47"/>
      <c r="W225" s="47" t="str">
        <f t="shared" si="12"/>
        <v/>
      </c>
    </row>
    <row r="226" spans="1:23" ht="15" customHeight="1" x14ac:dyDescent="0.25">
      <c r="A226" s="47"/>
      <c r="B226" s="47"/>
      <c r="C226" s="47"/>
      <c r="D226" s="47"/>
      <c r="E226" s="47"/>
      <c r="F226" s="47" t="str">
        <f t="shared" si="10"/>
        <v/>
      </c>
      <c r="G226" s="47"/>
      <c r="H226" s="70"/>
      <c r="I226" s="47" t="str">
        <f t="shared" ca="1" si="11"/>
        <v/>
      </c>
      <c r="J226" s="47"/>
      <c r="K226" s="47"/>
      <c r="L226" s="47"/>
      <c r="M226" s="47"/>
      <c r="N226" s="47"/>
      <c r="O226" s="70"/>
      <c r="P226" s="47"/>
      <c r="Q226" s="47"/>
      <c r="R226" s="47"/>
      <c r="S226" s="47"/>
      <c r="T226" s="70"/>
      <c r="U226" s="47"/>
      <c r="V226" s="47"/>
      <c r="W226" s="47" t="str">
        <f t="shared" si="12"/>
        <v/>
      </c>
    </row>
    <row r="227" spans="1:23" ht="15" customHeight="1" x14ac:dyDescent="0.25">
      <c r="A227" s="47"/>
      <c r="B227" s="47"/>
      <c r="C227" s="47"/>
      <c r="D227" s="47"/>
      <c r="E227" s="47"/>
      <c r="F227" s="47" t="str">
        <f t="shared" si="10"/>
        <v/>
      </c>
      <c r="G227" s="47"/>
      <c r="H227" s="70"/>
      <c r="I227" s="47" t="str">
        <f t="shared" ca="1" si="11"/>
        <v/>
      </c>
      <c r="J227" s="47"/>
      <c r="K227" s="47"/>
      <c r="L227" s="47"/>
      <c r="M227" s="47"/>
      <c r="N227" s="47"/>
      <c r="O227" s="70"/>
      <c r="P227" s="47"/>
      <c r="Q227" s="47"/>
      <c r="R227" s="47"/>
      <c r="S227" s="47"/>
      <c r="T227" s="70"/>
      <c r="U227" s="47"/>
      <c r="V227" s="47"/>
      <c r="W227" s="47" t="str">
        <f t="shared" si="12"/>
        <v/>
      </c>
    </row>
    <row r="228" spans="1:23" ht="15" customHeight="1" x14ac:dyDescent="0.25">
      <c r="A228" s="47"/>
      <c r="B228" s="47"/>
      <c r="C228" s="47"/>
      <c r="D228" s="47"/>
      <c r="E228" s="47"/>
      <c r="F228" s="47" t="str">
        <f t="shared" si="10"/>
        <v/>
      </c>
      <c r="G228" s="47"/>
      <c r="H228" s="70"/>
      <c r="I228" s="47" t="str">
        <f t="shared" ca="1" si="11"/>
        <v/>
      </c>
      <c r="J228" s="47"/>
      <c r="K228" s="47"/>
      <c r="L228" s="47"/>
      <c r="M228" s="47"/>
      <c r="N228" s="47"/>
      <c r="O228" s="70"/>
      <c r="P228" s="47"/>
      <c r="Q228" s="47"/>
      <c r="R228" s="47"/>
      <c r="S228" s="47"/>
      <c r="T228" s="70"/>
      <c r="U228" s="47"/>
      <c r="V228" s="47"/>
      <c r="W228" s="47" t="str">
        <f t="shared" si="12"/>
        <v/>
      </c>
    </row>
    <row r="229" spans="1:23" ht="15" customHeight="1" x14ac:dyDescent="0.25">
      <c r="A229" s="47"/>
      <c r="B229" s="47"/>
      <c r="C229" s="47"/>
      <c r="D229" s="47"/>
      <c r="E229" s="47"/>
      <c r="F229" s="47" t="str">
        <f t="shared" si="10"/>
        <v/>
      </c>
      <c r="G229" s="47"/>
      <c r="H229" s="70"/>
      <c r="I229" s="47" t="str">
        <f t="shared" ca="1" si="11"/>
        <v/>
      </c>
      <c r="J229" s="47"/>
      <c r="K229" s="47"/>
      <c r="L229" s="47"/>
      <c r="M229" s="47"/>
      <c r="N229" s="47"/>
      <c r="O229" s="70"/>
      <c r="P229" s="47"/>
      <c r="Q229" s="47"/>
      <c r="R229" s="47"/>
      <c r="S229" s="47"/>
      <c r="T229" s="70"/>
      <c r="U229" s="47"/>
      <c r="V229" s="47"/>
      <c r="W229" s="47" t="str">
        <f t="shared" si="12"/>
        <v/>
      </c>
    </row>
    <row r="230" spans="1:23" ht="15" customHeight="1" x14ac:dyDescent="0.25">
      <c r="A230" s="47"/>
      <c r="B230" s="47"/>
      <c r="C230" s="47"/>
      <c r="D230" s="47"/>
      <c r="E230" s="47"/>
      <c r="F230" s="47" t="str">
        <f t="shared" si="10"/>
        <v/>
      </c>
      <c r="G230" s="47"/>
      <c r="H230" s="70"/>
      <c r="I230" s="47" t="str">
        <f t="shared" ca="1" si="11"/>
        <v/>
      </c>
      <c r="J230" s="47"/>
      <c r="K230" s="47"/>
      <c r="L230" s="47"/>
      <c r="M230" s="47"/>
      <c r="N230" s="47"/>
      <c r="O230" s="70"/>
      <c r="P230" s="47"/>
      <c r="Q230" s="47"/>
      <c r="R230" s="47"/>
      <c r="S230" s="47"/>
      <c r="T230" s="70"/>
      <c r="U230" s="47"/>
      <c r="V230" s="47"/>
      <c r="W230" s="47" t="str">
        <f t="shared" si="12"/>
        <v/>
      </c>
    </row>
  </sheetData>
  <mergeCells count="1">
    <mergeCell ref="A1:W3"/>
  </mergeCells>
  <conditionalFormatting sqref="N6:N230">
    <cfRule type="expression" dxfId="41" priority="2">
      <formula>$N6="Active"</formula>
    </cfRule>
    <cfRule type="expression" dxfId="40" priority="3">
      <formula>OR($N6="Transferred Out",$N6="Dropped",$N6="Inactive")</formula>
    </cfRule>
    <cfRule type="expression" dxfId="39" priority="4">
      <formula>$N6="For Verification"</formula>
    </cfRule>
  </conditionalFormatting>
  <conditionalFormatting sqref="W6:W230">
    <cfRule type="expression" dxfId="38" priority="5">
      <formula>$W6="OK"</formula>
    </cfRule>
    <cfRule type="expression" dxfId="37" priority="6">
      <formula>$W6&lt;&gt;"OK"</formula>
    </cfRule>
  </conditionalFormatting>
  <dataValidations count="5">
    <dataValidation type="list" allowBlank="1" sqref="G6:G230" xr:uid="{00000000-0002-0000-0200-000000000000}">
      <formula1>"Male,Female"</formula1>
      <formula2>0</formula2>
    </dataValidation>
    <dataValidation type="list" allowBlank="1" sqref="J6:J230" xr:uid="{00000000-0002-0000-0200-000001000000}">
      <formula1>"Kinder,Grade 1,Grade 2,Grade 3,Grade 4,Grade 5,Grade 6"</formula1>
      <formula2>0</formula2>
    </dataValidation>
    <dataValidation type="list" allowBlank="1" sqref="K6:K230" xr:uid="{00000000-0002-0000-0200-000002000000}">
      <formula1>"KAMAGONG,MAGKONO,NARRA,TOOG,TUGAS,LAUAAN,YAKAL"</formula1>
      <formula2>0</formula2>
    </dataValidation>
    <dataValidation type="list" allowBlank="1" sqref="N6:N230" xr:uid="{00000000-0002-0000-0200-000003000000}">
      <formula1>"Active,Transferred In,Transferred Out,Dropped,For Verification,Graduated,Inactive"</formula1>
      <formula2>0</formula2>
    </dataValidation>
    <dataValidation type="list" allowBlank="1" sqref="S6:S230" xr:uid="{00000000-0002-0000-0200-000004000000}">
      <formula1>"Official LIS,For LIS Verification,Manual Entry,Updated from LIS Export"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36" customWidth="1"/>
    <col min="3" max="3" width="24" customWidth="1"/>
    <col min="4" max="4" width="42" customWidth="1"/>
    <col min="5" max="5" width="34" customWidth="1"/>
  </cols>
  <sheetData>
    <row r="1" spans="1:8" ht="15" customHeight="1" x14ac:dyDescent="0.25">
      <c r="A1" s="122" t="s">
        <v>436</v>
      </c>
      <c r="B1" s="122"/>
      <c r="C1" s="122"/>
      <c r="D1" s="122"/>
      <c r="E1" s="122"/>
      <c r="F1" s="122"/>
      <c r="G1" s="122"/>
      <c r="H1" s="122"/>
    </row>
    <row r="2" spans="1:8" ht="15" customHeight="1" x14ac:dyDescent="0.25">
      <c r="A2" s="122"/>
      <c r="B2" s="122"/>
      <c r="C2" s="122"/>
      <c r="D2" s="122"/>
      <c r="E2" s="122"/>
      <c r="F2" s="122"/>
      <c r="G2" s="122"/>
      <c r="H2" s="122"/>
    </row>
    <row r="3" spans="1:8" ht="15" customHeight="1" x14ac:dyDescent="0.25">
      <c r="A3" s="122"/>
      <c r="B3" s="122"/>
      <c r="C3" s="122"/>
      <c r="D3" s="122"/>
      <c r="E3" s="122"/>
      <c r="F3" s="122"/>
      <c r="G3" s="122"/>
      <c r="H3" s="122"/>
    </row>
    <row r="5" spans="1:8" ht="15" customHeight="1" x14ac:dyDescent="0.25">
      <c r="A5" s="71" t="s">
        <v>437</v>
      </c>
      <c r="B5" s="71" t="s">
        <v>438</v>
      </c>
      <c r="C5" s="71" t="s">
        <v>439</v>
      </c>
      <c r="D5" s="71" t="s">
        <v>440</v>
      </c>
      <c r="E5" s="71" t="s">
        <v>441</v>
      </c>
    </row>
    <row r="6" spans="1:8" ht="15" customHeight="1" x14ac:dyDescent="0.25">
      <c r="A6" s="47">
        <v>1</v>
      </c>
      <c r="B6" s="47" t="s">
        <v>442</v>
      </c>
      <c r="C6" s="47" t="s">
        <v>443</v>
      </c>
      <c r="D6" s="47" t="s">
        <v>444</v>
      </c>
      <c r="E6" s="47" t="s">
        <v>445</v>
      </c>
    </row>
    <row r="7" spans="1:8" ht="15" customHeight="1" x14ac:dyDescent="0.25">
      <c r="A7" s="47">
        <v>2</v>
      </c>
      <c r="B7" s="47" t="s">
        <v>446</v>
      </c>
      <c r="C7" s="47" t="s">
        <v>447</v>
      </c>
      <c r="D7" s="47" t="s">
        <v>448</v>
      </c>
      <c r="E7" s="47" t="s">
        <v>449</v>
      </c>
    </row>
    <row r="8" spans="1:8" ht="23.25" customHeight="1" x14ac:dyDescent="0.25">
      <c r="A8" s="47">
        <v>3</v>
      </c>
      <c r="B8" s="47" t="s">
        <v>450</v>
      </c>
      <c r="C8" s="47" t="s">
        <v>451</v>
      </c>
      <c r="D8" s="47" t="s">
        <v>452</v>
      </c>
      <c r="E8" s="47" t="s">
        <v>453</v>
      </c>
    </row>
    <row r="9" spans="1:8" ht="15" customHeight="1" x14ac:dyDescent="0.25">
      <c r="A9" s="47">
        <v>4</v>
      </c>
      <c r="B9" s="47" t="s">
        <v>454</v>
      </c>
      <c r="C9" s="47" t="s">
        <v>455</v>
      </c>
      <c r="D9" s="47" t="s">
        <v>456</v>
      </c>
      <c r="E9" s="47" t="s">
        <v>457</v>
      </c>
    </row>
    <row r="10" spans="1:8" ht="15" customHeight="1" x14ac:dyDescent="0.25">
      <c r="A10" s="47">
        <v>5</v>
      </c>
      <c r="B10" s="47" t="s">
        <v>458</v>
      </c>
      <c r="C10" s="47" t="s">
        <v>459</v>
      </c>
      <c r="D10" s="47" t="s">
        <v>460</v>
      </c>
      <c r="E10" s="47" t="s">
        <v>461</v>
      </c>
    </row>
    <row r="11" spans="1:8" ht="23.25" customHeight="1" x14ac:dyDescent="0.25">
      <c r="A11" s="47">
        <v>6</v>
      </c>
      <c r="B11" s="47" t="s">
        <v>462</v>
      </c>
      <c r="C11" s="47" t="s">
        <v>463</v>
      </c>
      <c r="D11" s="47" t="s">
        <v>464</v>
      </c>
      <c r="E11" s="47" t="s">
        <v>465</v>
      </c>
    </row>
    <row r="14" spans="1:8" ht="15" customHeight="1" x14ac:dyDescent="0.25">
      <c r="A14" s="123" t="s">
        <v>466</v>
      </c>
      <c r="B14" s="123"/>
      <c r="C14" s="123"/>
      <c r="D14" s="123"/>
      <c r="E14" s="123"/>
      <c r="F14" s="123"/>
      <c r="G14" s="123"/>
      <c r="H14" s="123"/>
    </row>
    <row r="15" spans="1:8" ht="15" customHeight="1" x14ac:dyDescent="0.25">
      <c r="A15" s="123"/>
      <c r="B15" s="123"/>
      <c r="C15" s="123"/>
      <c r="D15" s="123"/>
      <c r="E15" s="123"/>
      <c r="F15" s="123"/>
      <c r="G15" s="123"/>
      <c r="H15" s="123"/>
    </row>
    <row r="16" spans="1:8" ht="15" customHeight="1" x14ac:dyDescent="0.25">
      <c r="A16" s="123"/>
      <c r="B16" s="123"/>
      <c r="C16" s="123"/>
      <c r="D16" s="123"/>
      <c r="E16" s="123"/>
      <c r="F16" s="123"/>
      <c r="G16" s="123"/>
      <c r="H16" s="123"/>
    </row>
    <row r="17" spans="1:8" ht="15" customHeight="1" x14ac:dyDescent="0.25">
      <c r="A17" s="123"/>
      <c r="B17" s="123"/>
      <c r="C17" s="123"/>
      <c r="D17" s="123"/>
      <c r="E17" s="123"/>
      <c r="F17" s="123"/>
      <c r="G17" s="123"/>
      <c r="H17" s="123"/>
    </row>
  </sheetData>
  <mergeCells count="2">
    <mergeCell ref="A1:H3"/>
    <mergeCell ref="A14:H1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workbookViewId="0"/>
  </sheetViews>
  <sheetFormatPr defaultColWidth="8.7109375" defaultRowHeight="15" x14ac:dyDescent="0.25"/>
  <sheetData>
    <row r="1" spans="1:7" ht="15" customHeight="1" x14ac:dyDescent="0.25">
      <c r="A1" t="s">
        <v>467</v>
      </c>
      <c r="B1" t="s">
        <v>468</v>
      </c>
      <c r="C1" t="s">
        <v>99</v>
      </c>
      <c r="D1" t="s">
        <v>100</v>
      </c>
      <c r="E1" t="s">
        <v>469</v>
      </c>
      <c r="F1" t="s">
        <v>470</v>
      </c>
      <c r="G1" t="s">
        <v>471</v>
      </c>
    </row>
    <row r="2" spans="1:7" ht="15" customHeight="1" x14ac:dyDescent="0.25">
      <c r="A2" s="72">
        <v>46230</v>
      </c>
      <c r="B2" t="s">
        <v>317</v>
      </c>
      <c r="C2" t="s">
        <v>42</v>
      </c>
      <c r="D2" t="s">
        <v>114</v>
      </c>
      <c r="E2">
        <v>21</v>
      </c>
      <c r="F2" t="s">
        <v>472</v>
      </c>
      <c r="G2" t="s">
        <v>473</v>
      </c>
    </row>
    <row r="3" spans="1:7" x14ac:dyDescent="0.25">
      <c r="A3" s="72">
        <v>46230</v>
      </c>
      <c r="B3" t="s">
        <v>176</v>
      </c>
      <c r="C3" t="s">
        <v>12</v>
      </c>
      <c r="D3" t="s">
        <v>106</v>
      </c>
      <c r="E3">
        <v>20</v>
      </c>
      <c r="F3" t="s">
        <v>474</v>
      </c>
      <c r="G3" t="s">
        <v>475</v>
      </c>
    </row>
    <row r="4" spans="1:7" x14ac:dyDescent="0.25">
      <c r="A4" s="72">
        <v>46230</v>
      </c>
      <c r="B4" t="s">
        <v>213</v>
      </c>
      <c r="C4" t="s">
        <v>23</v>
      </c>
      <c r="D4" t="s">
        <v>108</v>
      </c>
      <c r="E4">
        <v>15</v>
      </c>
      <c r="F4" t="s">
        <v>474</v>
      </c>
      <c r="G4" t="s">
        <v>475</v>
      </c>
    </row>
    <row r="5" spans="1:7" x14ac:dyDescent="0.25">
      <c r="A5" s="72">
        <v>46230</v>
      </c>
      <c r="B5" t="s">
        <v>291</v>
      </c>
      <c r="C5" t="s">
        <v>39</v>
      </c>
      <c r="D5" t="s">
        <v>112</v>
      </c>
      <c r="E5">
        <v>16</v>
      </c>
      <c r="F5" t="s">
        <v>474</v>
      </c>
      <c r="G5" t="s">
        <v>475</v>
      </c>
    </row>
    <row r="6" spans="1:7" x14ac:dyDescent="0.25">
      <c r="A6" s="72">
        <v>46230</v>
      </c>
      <c r="B6" t="s">
        <v>317</v>
      </c>
      <c r="C6" t="s">
        <v>42</v>
      </c>
      <c r="D6" t="s">
        <v>114</v>
      </c>
      <c r="E6">
        <v>21</v>
      </c>
      <c r="F6" t="s">
        <v>474</v>
      </c>
      <c r="G6" t="s">
        <v>475</v>
      </c>
    </row>
    <row r="7" spans="1:7" x14ac:dyDescent="0.25">
      <c r="A7" s="72">
        <v>46230</v>
      </c>
      <c r="B7" t="s">
        <v>365</v>
      </c>
      <c r="C7" t="s">
        <v>44</v>
      </c>
      <c r="D7" t="s">
        <v>116</v>
      </c>
      <c r="E7">
        <v>33</v>
      </c>
      <c r="F7" t="s">
        <v>474</v>
      </c>
      <c r="G7" t="s">
        <v>475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2" width="18" customWidth="1"/>
    <col min="3" max="3" width="24" customWidth="1"/>
    <col min="4" max="4" width="12" customWidth="1"/>
    <col min="5" max="5" width="30" customWidth="1"/>
  </cols>
  <sheetData>
    <row r="1" spans="1:5" ht="15" customHeight="1" x14ac:dyDescent="0.25">
      <c r="A1" s="124" t="s">
        <v>476</v>
      </c>
      <c r="B1" s="124"/>
      <c r="C1" s="124"/>
      <c r="D1" s="124"/>
      <c r="E1" s="124"/>
    </row>
    <row r="2" spans="1:5" ht="15" customHeight="1" x14ac:dyDescent="0.25">
      <c r="A2" s="124"/>
      <c r="B2" s="124"/>
      <c r="C2" s="124"/>
      <c r="D2" s="124"/>
      <c r="E2" s="124"/>
    </row>
    <row r="4" spans="1:5" ht="15" customHeight="1" x14ac:dyDescent="0.25">
      <c r="A4" s="73" t="s">
        <v>99</v>
      </c>
      <c r="B4" s="73" t="s">
        <v>100</v>
      </c>
      <c r="C4" s="73" t="s">
        <v>477</v>
      </c>
      <c r="D4" s="73" t="s">
        <v>56</v>
      </c>
      <c r="E4" s="73" t="s">
        <v>471</v>
      </c>
    </row>
    <row r="5" spans="1:5" ht="15" customHeight="1" x14ac:dyDescent="0.25">
      <c r="A5" s="29" t="s">
        <v>9</v>
      </c>
      <c r="B5" s="29" t="s">
        <v>104</v>
      </c>
      <c r="C5" s="29" t="s">
        <v>478</v>
      </c>
      <c r="D5" s="29" t="s">
        <v>101</v>
      </c>
      <c r="E5" s="29" t="s">
        <v>479</v>
      </c>
    </row>
    <row r="6" spans="1:5" ht="15" customHeight="1" x14ac:dyDescent="0.25">
      <c r="A6" s="29" t="s">
        <v>12</v>
      </c>
      <c r="B6" s="29" t="s">
        <v>106</v>
      </c>
      <c r="C6" s="29" t="s">
        <v>480</v>
      </c>
      <c r="D6" s="29" t="s">
        <v>101</v>
      </c>
      <c r="E6" s="29" t="s">
        <v>479</v>
      </c>
    </row>
    <row r="7" spans="1:5" ht="15" customHeight="1" x14ac:dyDescent="0.25">
      <c r="A7" s="29" t="s">
        <v>23</v>
      </c>
      <c r="B7" s="29" t="s">
        <v>108</v>
      </c>
      <c r="C7" s="29" t="s">
        <v>481</v>
      </c>
      <c r="D7" s="29" t="s">
        <v>101</v>
      </c>
      <c r="E7" s="29" t="s">
        <v>479</v>
      </c>
    </row>
    <row r="8" spans="1:5" ht="15" customHeight="1" x14ac:dyDescent="0.25">
      <c r="A8" s="29" t="s">
        <v>26</v>
      </c>
      <c r="B8" s="29" t="s">
        <v>110</v>
      </c>
      <c r="C8" s="29" t="s">
        <v>482</v>
      </c>
      <c r="D8" s="29" t="s">
        <v>101</v>
      </c>
      <c r="E8" s="29" t="s">
        <v>479</v>
      </c>
    </row>
    <row r="9" spans="1:5" ht="15" customHeight="1" x14ac:dyDescent="0.25">
      <c r="A9" s="29" t="s">
        <v>39</v>
      </c>
      <c r="B9" s="29" t="s">
        <v>112</v>
      </c>
      <c r="C9" s="29" t="s">
        <v>483</v>
      </c>
      <c r="D9" s="29" t="s">
        <v>101</v>
      </c>
      <c r="E9" s="29" t="s">
        <v>479</v>
      </c>
    </row>
    <row r="10" spans="1:5" ht="15" customHeight="1" x14ac:dyDescent="0.25">
      <c r="A10" s="29" t="s">
        <v>42</v>
      </c>
      <c r="B10" s="29" t="s">
        <v>114</v>
      </c>
      <c r="C10" s="29" t="s">
        <v>484</v>
      </c>
      <c r="D10" s="29" t="s">
        <v>101</v>
      </c>
      <c r="E10" s="29" t="s">
        <v>479</v>
      </c>
    </row>
    <row r="11" spans="1:5" ht="15" customHeight="1" x14ac:dyDescent="0.25">
      <c r="A11" s="29" t="s">
        <v>44</v>
      </c>
      <c r="B11" s="29" t="s">
        <v>116</v>
      </c>
      <c r="C11" s="29" t="s">
        <v>485</v>
      </c>
      <c r="D11" s="29" t="s">
        <v>101</v>
      </c>
      <c r="E11" s="29" t="s">
        <v>479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9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4" width="20" customWidth="1"/>
    <col min="5" max="5" width="4" customWidth="1"/>
    <col min="6" max="8" width="18" customWidth="1"/>
    <col min="9" max="9" width="4" customWidth="1"/>
    <col min="10" max="13" width="18" customWidth="1"/>
    <col min="14" max="14" width="4" customWidth="1"/>
    <col min="27" max="28" width="13" hidden="1" customWidth="1"/>
  </cols>
  <sheetData>
    <row r="1" spans="1:28" ht="24" customHeight="1" x14ac:dyDescent="0.25">
      <c r="A1" s="125" t="s">
        <v>486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AA1" t="s">
        <v>81</v>
      </c>
      <c r="AB1" t="s">
        <v>2</v>
      </c>
    </row>
    <row r="2" spans="1:28" ht="24" customHeight="1" x14ac:dyDescent="0.2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AA2" t="s">
        <v>487</v>
      </c>
      <c r="AB2">
        <f>COUNTIF(Assessment_Submissions!C:C,$B$5)</f>
        <v>1</v>
      </c>
    </row>
    <row r="3" spans="1:28" ht="24" customHeight="1" x14ac:dyDescent="0.2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AA3" t="s">
        <v>488</v>
      </c>
      <c r="AB3">
        <f>COUNTIF(Learner_Scores!D:D,$B$5)</f>
        <v>5</v>
      </c>
    </row>
    <row r="4" spans="1:28" ht="24" customHeight="1" x14ac:dyDescent="0.25">
      <c r="AA4" t="s">
        <v>489</v>
      </c>
      <c r="AB4">
        <f>IFERROR(AVERAGEIF(Learner_Scores!D:D,$B$5,Learner_Scores!O:O),0)</f>
        <v>0.72399999999999998</v>
      </c>
    </row>
    <row r="5" spans="1:28" ht="24" customHeight="1" x14ac:dyDescent="0.25">
      <c r="A5" s="2" t="s">
        <v>490</v>
      </c>
      <c r="B5" s="74" t="s">
        <v>107</v>
      </c>
      <c r="D5" t="s">
        <v>491</v>
      </c>
      <c r="E5" t="str">
        <f ca="1">IFERROR(_xludf.xlookup(B5,Access_Control!B:B,Access_Control!D:D),"")</f>
        <v/>
      </c>
      <c r="G5" t="s">
        <v>492</v>
      </c>
      <c r="H5" t="str">
        <f ca="1">IFERROR(_xludf.xlookup(B5,Access_Control!B:B,Access_Control!E:E)&amp;" - "&amp;_xludf.xlookup(B5,Access_Control!B:B,Access_Control!F:F),"")</f>
        <v/>
      </c>
      <c r="AA5" t="s">
        <v>493</v>
      </c>
      <c r="AB5">
        <f>COUNTIFS(Learner_Scores!D:D,$B$5,Learner_Scores!P:P,"Proficient")</f>
        <v>2</v>
      </c>
    </row>
    <row r="6" spans="1:28" ht="24" customHeight="1" x14ac:dyDescent="0.25">
      <c r="AA6" t="s">
        <v>40</v>
      </c>
      <c r="AB6">
        <f>COUNTIFS(Assessment_Submissions!C:C,$B$5,Assessment_Submissions!S:S,"For Checking")</f>
        <v>1</v>
      </c>
    </row>
    <row r="7" spans="1:28" ht="24" customHeight="1" x14ac:dyDescent="0.25">
      <c r="A7" s="49" t="s">
        <v>494</v>
      </c>
      <c r="B7" s="50"/>
      <c r="C7" s="50"/>
      <c r="D7" s="75" t="s">
        <v>495</v>
      </c>
      <c r="E7" s="76"/>
      <c r="F7" s="76"/>
      <c r="G7" s="77" t="s">
        <v>496</v>
      </c>
      <c r="H7" s="78"/>
      <c r="I7" s="78"/>
      <c r="J7" s="57" t="s">
        <v>497</v>
      </c>
      <c r="K7" s="58"/>
      <c r="L7" s="58"/>
      <c r="M7" s="55" t="s">
        <v>498</v>
      </c>
      <c r="N7" s="56"/>
      <c r="AA7" t="s">
        <v>43</v>
      </c>
      <c r="AB7">
        <f>COUNTIFS(Assessment_Submissions!C:C,$B$5,Assessment_Submissions!S:S,"Returned")</f>
        <v>0</v>
      </c>
    </row>
    <row r="8" spans="1:28" ht="24" customHeight="1" x14ac:dyDescent="0.4">
      <c r="A8" s="50"/>
      <c r="B8" s="59">
        <f>AB2</f>
        <v>1</v>
      </c>
      <c r="C8" s="50"/>
      <c r="D8" s="76"/>
      <c r="E8" s="79">
        <f>AB3</f>
        <v>5</v>
      </c>
      <c r="F8" s="76"/>
      <c r="G8" s="78"/>
      <c r="H8" s="22">
        <f>AB4</f>
        <v>0.72399999999999998</v>
      </c>
      <c r="I8" s="78"/>
      <c r="J8" s="58"/>
      <c r="K8" s="63">
        <f>AB6</f>
        <v>1</v>
      </c>
      <c r="L8" s="58"/>
      <c r="M8" s="56"/>
      <c r="N8" s="62">
        <f>AB7</f>
        <v>0</v>
      </c>
      <c r="AA8" t="s">
        <v>499</v>
      </c>
      <c r="AB8">
        <f>COUNTIFS(Assessment_Submissions!C:C,$B$5,Assessment_Submissions!S:S,"Submitted")</f>
        <v>0</v>
      </c>
    </row>
    <row r="9" spans="1:28" ht="24" customHeight="1" x14ac:dyDescent="0.25">
      <c r="A9" s="50"/>
      <c r="B9" s="50"/>
      <c r="C9" s="50"/>
      <c r="D9" s="76"/>
      <c r="E9" s="76"/>
      <c r="F9" s="76"/>
      <c r="G9" s="78"/>
      <c r="H9" s="78"/>
      <c r="I9" s="78"/>
      <c r="J9" s="58"/>
      <c r="K9" s="58"/>
      <c r="L9" s="58"/>
      <c r="M9" s="56"/>
      <c r="N9" s="56"/>
      <c r="AA9" t="s">
        <v>500</v>
      </c>
      <c r="AB9" t="str">
        <f ca="1">IFERROR(_xludf.xlookup($B$5,Access_Control!B:B,Access_Control!C:C),"")</f>
        <v/>
      </c>
    </row>
    <row r="10" spans="1:28" ht="24" customHeight="1" x14ac:dyDescent="0.25">
      <c r="A10" s="64" t="s">
        <v>501</v>
      </c>
      <c r="B10" s="50"/>
      <c r="C10" s="50"/>
      <c r="D10" s="80" t="s">
        <v>502</v>
      </c>
      <c r="E10" s="76"/>
      <c r="F10" s="76"/>
      <c r="G10" s="81" t="s">
        <v>503</v>
      </c>
      <c r="H10" s="78"/>
      <c r="I10" s="78"/>
      <c r="J10" s="68" t="s">
        <v>504</v>
      </c>
      <c r="K10" s="58"/>
      <c r="L10" s="58"/>
      <c r="M10" s="67" t="s">
        <v>505</v>
      </c>
      <c r="N10" s="56"/>
    </row>
    <row r="11" spans="1:28" ht="24" customHeight="1" x14ac:dyDescent="0.25"/>
    <row r="12" spans="1:28" ht="24" customHeight="1" x14ac:dyDescent="0.25"/>
    <row r="13" spans="1:28" ht="24" customHeight="1" x14ac:dyDescent="0.25">
      <c r="A13" s="113" t="s">
        <v>506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</row>
    <row r="14" spans="1:28" ht="24" customHeight="1" x14ac:dyDescent="0.25">
      <c r="A14" s="69" t="s">
        <v>73</v>
      </c>
      <c r="B14" s="69" t="s">
        <v>507</v>
      </c>
      <c r="C14" s="69" t="s">
        <v>74</v>
      </c>
      <c r="D14" s="69" t="s">
        <v>3</v>
      </c>
      <c r="E14" s="69" t="s">
        <v>508</v>
      </c>
      <c r="F14" s="69" t="s">
        <v>4</v>
      </c>
      <c r="G14" s="69" t="s">
        <v>56</v>
      </c>
      <c r="H14" s="69" t="s">
        <v>75</v>
      </c>
      <c r="I14" s="69" t="s">
        <v>59</v>
      </c>
    </row>
    <row r="15" spans="1:28" ht="24" customHeight="1" x14ac:dyDescent="0.25">
      <c r="A15" s="82" t="e">
        <f ca="1">_xludf.filter(CHOOSE({1,2,3,4,5,6,7,8,9},Assessment_Submissions!B5:B200,Assessment_Submissions!F5:F200,Assessment_Submissions!G5:G200,Assessment_Submissions!H5:H200,Assessment_Submissions!K5:K200,Assessment_Submissions!L5:L200,Assessment_Submissions!S5:S200,Assessment_Submissions!R5:R200,Assessment_Submissions!T5:T200),Assessment_Submissions!C5:C200=$B$5,"No submissions yet")</f>
        <v>#NAME?</v>
      </c>
    </row>
    <row r="16" spans="1:28" ht="24" customHeight="1" x14ac:dyDescent="0.25"/>
    <row r="17" spans="1:14" ht="24" customHeight="1" x14ac:dyDescent="0.25"/>
    <row r="18" spans="1:14" ht="24" customHeight="1" x14ac:dyDescent="0.25"/>
    <row r="19" spans="1:14" ht="24" customHeight="1" x14ac:dyDescent="0.25"/>
    <row r="20" spans="1:14" ht="24" customHeight="1" x14ac:dyDescent="0.25"/>
    <row r="21" spans="1:14" ht="24" customHeight="1" x14ac:dyDescent="0.25"/>
    <row r="22" spans="1:14" ht="24" customHeight="1" x14ac:dyDescent="0.25"/>
    <row r="23" spans="1:14" ht="24" customHeight="1" x14ac:dyDescent="0.25"/>
    <row r="24" spans="1:14" ht="24" customHeight="1" x14ac:dyDescent="0.25"/>
    <row r="25" spans="1:14" ht="24" customHeight="1" x14ac:dyDescent="0.25">
      <c r="A25" s="113" t="s">
        <v>509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</row>
    <row r="26" spans="1:14" ht="24" customHeight="1" x14ac:dyDescent="0.25">
      <c r="A26" s="71" t="s">
        <v>120</v>
      </c>
      <c r="B26" s="71" t="s">
        <v>510</v>
      </c>
      <c r="C26" s="71" t="s">
        <v>5</v>
      </c>
      <c r="D26" s="71" t="s">
        <v>100</v>
      </c>
      <c r="E26" s="71" t="s">
        <v>74</v>
      </c>
      <c r="F26" s="71" t="s">
        <v>3</v>
      </c>
      <c r="G26" s="71" t="s">
        <v>511</v>
      </c>
      <c r="H26" s="71" t="s">
        <v>512</v>
      </c>
      <c r="I26" s="71" t="s">
        <v>4</v>
      </c>
      <c r="J26" s="71" t="s">
        <v>513</v>
      </c>
      <c r="K26" s="71" t="s">
        <v>56</v>
      </c>
    </row>
    <row r="27" spans="1:14" ht="24" customHeight="1" x14ac:dyDescent="0.25">
      <c r="A27" t="e">
        <f ca="1">_xludf.filter(CHOOSE({1,2,3,4,5,6,7,8,9,10,11},Learner_Scores!K6:K300,Learner_Scores!L6:L300,Learner_Scores!F6:F300,Learner_Scores!G6:G300,Learner_Scores!I6:I300,Learner_Scores!J6:J300,Learner_Scores!M6:M300,Learner_Scores!N6:N300,Learner_Scores!O6:O300,Learner_Scores!P6:P300,Learner_Scores!T6:T300),Learner_Scores!D6:D300=$B$5,"No extracted learner scores yet")</f>
        <v>#NAME?</v>
      </c>
    </row>
    <row r="28" spans="1:14" ht="24" customHeight="1" x14ac:dyDescent="0.25"/>
    <row r="29" spans="1:14" ht="24" customHeight="1" x14ac:dyDescent="0.25"/>
    <row r="30" spans="1:14" ht="24" customHeight="1" x14ac:dyDescent="0.25"/>
    <row r="31" spans="1:14" ht="24" customHeight="1" x14ac:dyDescent="0.25"/>
    <row r="32" spans="1:14" ht="24" customHeight="1" x14ac:dyDescent="0.25"/>
    <row r="33" spans="1:6" ht="24" customHeight="1" x14ac:dyDescent="0.25"/>
    <row r="34" spans="1:6" ht="24" customHeight="1" x14ac:dyDescent="0.25"/>
    <row r="35" spans="1:6" ht="24" customHeight="1" x14ac:dyDescent="0.25"/>
    <row r="36" spans="1:6" ht="24" customHeight="1" x14ac:dyDescent="0.25"/>
    <row r="37" spans="1:6" ht="24" customHeight="1" x14ac:dyDescent="0.25"/>
    <row r="38" spans="1:6" ht="24" customHeight="1" x14ac:dyDescent="0.25"/>
    <row r="39" spans="1:6" ht="24" customHeight="1" x14ac:dyDescent="0.25"/>
    <row r="40" spans="1:6" ht="24" customHeight="1" x14ac:dyDescent="0.25"/>
    <row r="41" spans="1:6" ht="24" customHeight="1" x14ac:dyDescent="0.25"/>
    <row r="42" spans="1:6" ht="24" customHeight="1" x14ac:dyDescent="0.25"/>
    <row r="43" spans="1:6" ht="24" customHeight="1" x14ac:dyDescent="0.25">
      <c r="A43" s="113" t="s">
        <v>514</v>
      </c>
      <c r="B43" s="113"/>
      <c r="C43" s="113"/>
      <c r="D43" s="113"/>
      <c r="E43" s="113"/>
      <c r="F43" s="113"/>
    </row>
    <row r="44" spans="1:6" ht="24" customHeight="1" x14ac:dyDescent="0.25">
      <c r="A44" s="83" t="s">
        <v>3</v>
      </c>
      <c r="B44" s="83" t="s">
        <v>515</v>
      </c>
      <c r="C44" s="83" t="s">
        <v>489</v>
      </c>
      <c r="D44" s="83" t="s">
        <v>516</v>
      </c>
      <c r="E44" s="83" t="s">
        <v>517</v>
      </c>
      <c r="F44" s="83" t="s">
        <v>518</v>
      </c>
    </row>
    <row r="45" spans="1:6" ht="24" customHeight="1" x14ac:dyDescent="0.25">
      <c r="A45" s="84" t="s">
        <v>8</v>
      </c>
      <c r="B45" s="84">
        <f>COUNTIFS(Learner_Scores!D:D,$B$5,Learner_Scores!J:J,A45)</f>
        <v>5</v>
      </c>
      <c r="C45" s="85">
        <f>IFERROR(AVERAGEIFS(Learner_Scores!O:O,Learner_Scores!D:D,$B$5,Learner_Scores!J:J,A45),0)</f>
        <v>0.72399999999999998</v>
      </c>
      <c r="D45" s="84">
        <f>COUNTIFS(Learner_Scores!D:D,$B$5,Learner_Scores!J:J,A45,Learner_Scores!P:P,"Proficient")</f>
        <v>2</v>
      </c>
      <c r="E45" s="84">
        <f>COUNTIFS(Learner_Scores!D:D,$B$5,Learner_Scores!J:J,A45,Learner_Scores!P:P,"Nearly Proficient")</f>
        <v>3</v>
      </c>
      <c r="F45" s="84">
        <f>COUNTIFS(Learner_Scores!D:D,$B$5,Learner_Scores!J:J,A45,Learner_Scores!P:P,"Low Proficient") + COUNTIFS(Learner_Scores!D:D,$B$5,Learner_Scores!J:J,A45,Learner_Scores!P:P,"Not Proficient")</f>
        <v>0</v>
      </c>
    </row>
    <row r="46" spans="1:6" ht="24" customHeight="1" x14ac:dyDescent="0.25">
      <c r="A46" s="84" t="s">
        <v>11</v>
      </c>
      <c r="B46" s="84">
        <f>COUNTIFS(Learner_Scores!D:D,$B$5,Learner_Scores!J:J,A46)</f>
        <v>0</v>
      </c>
      <c r="C46" s="85">
        <f>IFERROR(AVERAGEIFS(Learner_Scores!O:O,Learner_Scores!D:D,$B$5,Learner_Scores!J:J,A46),0)</f>
        <v>0</v>
      </c>
      <c r="D46" s="84">
        <f>COUNTIFS(Learner_Scores!D:D,$B$5,Learner_Scores!J:J,A46,Learner_Scores!P:P,"Proficient")</f>
        <v>0</v>
      </c>
      <c r="E46" s="84">
        <f>COUNTIFS(Learner_Scores!D:D,$B$5,Learner_Scores!J:J,A46,Learner_Scores!P:P,"Nearly Proficient")</f>
        <v>0</v>
      </c>
      <c r="F46" s="84">
        <f>COUNTIFS(Learner_Scores!D:D,$B$5,Learner_Scores!J:J,A46,Learner_Scores!P:P,"Low Proficient") + COUNTIFS(Learner_Scores!D:D,$B$5,Learner_Scores!J:J,A46,Learner_Scores!P:P,"Not Proficient")</f>
        <v>0</v>
      </c>
    </row>
    <row r="47" spans="1:6" ht="24" customHeight="1" x14ac:dyDescent="0.25">
      <c r="A47" s="84" t="s">
        <v>22</v>
      </c>
      <c r="B47" s="84">
        <f>COUNTIFS(Learner_Scores!D:D,$B$5,Learner_Scores!J:J,A47)</f>
        <v>0</v>
      </c>
      <c r="C47" s="85">
        <f>IFERROR(AVERAGEIFS(Learner_Scores!O:O,Learner_Scores!D:D,$B$5,Learner_Scores!J:J,A47),0)</f>
        <v>0</v>
      </c>
      <c r="D47" s="84">
        <f>COUNTIFS(Learner_Scores!D:D,$B$5,Learner_Scores!J:J,A47,Learner_Scores!P:P,"Proficient")</f>
        <v>0</v>
      </c>
      <c r="E47" s="84">
        <f>COUNTIFS(Learner_Scores!D:D,$B$5,Learner_Scores!J:J,A47,Learner_Scores!P:P,"Nearly Proficient")</f>
        <v>0</v>
      </c>
      <c r="F47" s="84">
        <f>COUNTIFS(Learner_Scores!D:D,$B$5,Learner_Scores!J:J,A47,Learner_Scores!P:P,"Low Proficient") + COUNTIFS(Learner_Scores!D:D,$B$5,Learner_Scores!J:J,A47,Learner_Scores!P:P,"Not Proficient")</f>
        <v>0</v>
      </c>
    </row>
    <row r="48" spans="1:6" ht="24" customHeight="1" x14ac:dyDescent="0.25">
      <c r="A48" s="84" t="s">
        <v>25</v>
      </c>
      <c r="B48" s="84">
        <f>COUNTIFS(Learner_Scores!D:D,$B$5,Learner_Scores!J:J,A48)</f>
        <v>0</v>
      </c>
      <c r="C48" s="85">
        <f>IFERROR(AVERAGEIFS(Learner_Scores!O:O,Learner_Scores!D:D,$B$5,Learner_Scores!J:J,A48),0)</f>
        <v>0</v>
      </c>
      <c r="D48" s="84">
        <f>COUNTIFS(Learner_Scores!D:D,$B$5,Learner_Scores!J:J,A48,Learner_Scores!P:P,"Proficient")</f>
        <v>0</v>
      </c>
      <c r="E48" s="84">
        <f>COUNTIFS(Learner_Scores!D:D,$B$5,Learner_Scores!J:J,A48,Learner_Scores!P:P,"Nearly Proficient")</f>
        <v>0</v>
      </c>
      <c r="F48" s="84">
        <f>COUNTIFS(Learner_Scores!D:D,$B$5,Learner_Scores!J:J,A48,Learner_Scores!P:P,"Low Proficient") + COUNTIFS(Learner_Scores!D:D,$B$5,Learner_Scores!J:J,A48,Learner_Scores!P:P,"Not Proficient")</f>
        <v>0</v>
      </c>
    </row>
    <row r="49" spans="1:14" ht="24" customHeight="1" x14ac:dyDescent="0.25">
      <c r="A49" s="84" t="s">
        <v>38</v>
      </c>
      <c r="B49" s="84">
        <f>COUNTIFS(Learner_Scores!D:D,$B$5,Learner_Scores!J:J,A49)</f>
        <v>0</v>
      </c>
      <c r="C49" s="85">
        <f>IFERROR(AVERAGEIFS(Learner_Scores!O:O,Learner_Scores!D:D,$B$5,Learner_Scores!J:J,A49),0)</f>
        <v>0</v>
      </c>
      <c r="D49" s="84">
        <f>COUNTIFS(Learner_Scores!D:D,$B$5,Learner_Scores!J:J,A49,Learner_Scores!P:P,"Proficient")</f>
        <v>0</v>
      </c>
      <c r="E49" s="84">
        <f>COUNTIFS(Learner_Scores!D:D,$B$5,Learner_Scores!J:J,A49,Learner_Scores!P:P,"Nearly Proficient")</f>
        <v>0</v>
      </c>
      <c r="F49" s="84">
        <f>COUNTIFS(Learner_Scores!D:D,$B$5,Learner_Scores!J:J,A49,Learner_Scores!P:P,"Low Proficient") + COUNTIFS(Learner_Scores!D:D,$B$5,Learner_Scores!J:J,A49,Learner_Scores!P:P,"Not Proficient")</f>
        <v>0</v>
      </c>
    </row>
    <row r="50" spans="1:14" ht="24" customHeight="1" x14ac:dyDescent="0.25">
      <c r="A50" s="84" t="s">
        <v>41</v>
      </c>
      <c r="B50" s="84">
        <f>COUNTIFS(Learner_Scores!D:D,$B$5,Learner_Scores!J:J,A50)</f>
        <v>0</v>
      </c>
      <c r="C50" s="85">
        <f>IFERROR(AVERAGEIFS(Learner_Scores!O:O,Learner_Scores!D:D,$B$5,Learner_Scores!J:J,A50),0)</f>
        <v>0</v>
      </c>
      <c r="D50" s="84">
        <f>COUNTIFS(Learner_Scores!D:D,$B$5,Learner_Scores!J:J,A50,Learner_Scores!P:P,"Proficient")</f>
        <v>0</v>
      </c>
      <c r="E50" s="84">
        <f>COUNTIFS(Learner_Scores!D:D,$B$5,Learner_Scores!J:J,A50,Learner_Scores!P:P,"Nearly Proficient")</f>
        <v>0</v>
      </c>
      <c r="F50" s="84">
        <f>COUNTIFS(Learner_Scores!D:D,$B$5,Learner_Scores!J:J,A50,Learner_Scores!P:P,"Low Proficient") + COUNTIFS(Learner_Scores!D:D,$B$5,Learner_Scores!J:J,A50,Learner_Scores!P:P,"Not Proficient")</f>
        <v>0</v>
      </c>
    </row>
    <row r="51" spans="1:14" ht="24" customHeight="1" x14ac:dyDescent="0.25"/>
    <row r="52" spans="1:14" ht="24" customHeight="1" x14ac:dyDescent="0.25"/>
    <row r="53" spans="1:14" ht="24" customHeight="1" x14ac:dyDescent="0.25"/>
    <row r="54" spans="1:14" ht="24" customHeight="1" x14ac:dyDescent="0.25"/>
    <row r="55" spans="1:14" ht="24" customHeight="1" x14ac:dyDescent="0.25"/>
    <row r="56" spans="1:14" ht="24" customHeight="1" x14ac:dyDescent="0.25"/>
    <row r="57" spans="1:14" ht="24" customHeight="1" x14ac:dyDescent="0.25"/>
    <row r="58" spans="1:14" ht="24" customHeight="1" x14ac:dyDescent="0.25"/>
    <row r="59" spans="1:14" ht="24" customHeight="1" x14ac:dyDescent="0.25"/>
    <row r="60" spans="1:14" ht="24" customHeight="1" x14ac:dyDescent="0.25"/>
    <row r="61" spans="1:14" ht="24" customHeight="1" x14ac:dyDescent="0.25"/>
    <row r="62" spans="1:14" ht="24" customHeight="1" x14ac:dyDescent="0.25">
      <c r="A62" s="126" t="s">
        <v>519</v>
      </c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</row>
    <row r="63" spans="1:14" ht="24" customHeight="1" x14ac:dyDescent="0.25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</row>
    <row r="64" spans="1:14" ht="24" customHeight="1" x14ac:dyDescent="0.25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</row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24" customHeight="1" x14ac:dyDescent="0.25"/>
  </sheetData>
  <sheetProtection password="9233" sheet="1"/>
  <mergeCells count="5">
    <mergeCell ref="A1:N3"/>
    <mergeCell ref="A13:N13"/>
    <mergeCell ref="A25:N25"/>
    <mergeCell ref="A43:F43"/>
    <mergeCell ref="A62:N64"/>
  </mergeCells>
  <conditionalFormatting sqref="G15:G24">
    <cfRule type="expression" dxfId="36" priority="2">
      <formula>$G15="For Checking"</formula>
    </cfRule>
    <cfRule type="expression" dxfId="35" priority="3">
      <formula>$G15="Submitted"</formula>
    </cfRule>
    <cfRule type="expression" dxfId="34" priority="4">
      <formula>$G15="Returned"</formula>
    </cfRule>
  </conditionalFormatting>
  <conditionalFormatting sqref="J27:J42">
    <cfRule type="expression" dxfId="33" priority="5">
      <formula>$J27="Proficient"</formula>
    </cfRule>
    <cfRule type="expression" dxfId="32" priority="6">
      <formula>$J27="Nearly Proficient"</formula>
    </cfRule>
    <cfRule type="expression" dxfId="31" priority="7">
      <formula>$J27="Low Proficient"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Access_Control!$B$6:$B$13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0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4" customWidth="1"/>
    <col min="3" max="3" width="22" customWidth="1"/>
    <col min="4" max="5" width="28" customWidth="1"/>
    <col min="6" max="8" width="14" customWidth="1"/>
    <col min="9" max="9" width="18" customWidth="1"/>
    <col min="10" max="10" width="16" customWidth="1"/>
    <col min="11" max="11" width="18" customWidth="1"/>
    <col min="12" max="12" width="22" customWidth="1"/>
    <col min="13" max="14" width="12" customWidth="1"/>
    <col min="15" max="15" width="10" customWidth="1"/>
    <col min="16" max="16" width="18" customWidth="1"/>
    <col min="17" max="17" width="24" customWidth="1"/>
    <col min="18" max="18" width="28" customWidth="1"/>
    <col min="19" max="19" width="55" customWidth="1"/>
    <col min="20" max="20" width="16" customWidth="1"/>
  </cols>
  <sheetData>
    <row r="1" spans="1:20" ht="15" customHeight="1" x14ac:dyDescent="0.25">
      <c r="A1" s="127" t="s">
        <v>520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5" customHeight="1" x14ac:dyDescent="0.2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</row>
    <row r="3" spans="1:20" ht="15" customHeight="1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</row>
    <row r="5" spans="1:20" ht="23.25" customHeight="1" x14ac:dyDescent="0.25">
      <c r="A5" s="71" t="s">
        <v>521</v>
      </c>
      <c r="B5" s="71" t="s">
        <v>522</v>
      </c>
      <c r="C5" s="71" t="s">
        <v>523</v>
      </c>
      <c r="D5" s="71" t="s">
        <v>524</v>
      </c>
      <c r="E5" s="71" t="s">
        <v>525</v>
      </c>
      <c r="F5" s="71" t="s">
        <v>99</v>
      </c>
      <c r="G5" s="71" t="s">
        <v>100</v>
      </c>
      <c r="H5" s="71" t="s">
        <v>507</v>
      </c>
      <c r="I5" s="71" t="s">
        <v>526</v>
      </c>
      <c r="J5" s="71" t="s">
        <v>3</v>
      </c>
      <c r="K5" s="71" t="s">
        <v>120</v>
      </c>
      <c r="L5" s="71" t="s">
        <v>527</v>
      </c>
      <c r="M5" s="71" t="s">
        <v>528</v>
      </c>
      <c r="N5" s="71" t="s">
        <v>529</v>
      </c>
      <c r="O5" s="71" t="s">
        <v>4</v>
      </c>
      <c r="P5" s="71" t="s">
        <v>530</v>
      </c>
      <c r="Q5" s="71" t="s">
        <v>59</v>
      </c>
      <c r="R5" s="71" t="s">
        <v>531</v>
      </c>
      <c r="S5" s="71" t="s">
        <v>532</v>
      </c>
      <c r="T5" s="71" t="s">
        <v>56</v>
      </c>
    </row>
    <row r="6" spans="1:20" ht="23.25" customHeight="1" x14ac:dyDescent="0.25">
      <c r="A6" s="47">
        <v>1</v>
      </c>
      <c r="B6" s="47">
        <v>1001</v>
      </c>
      <c r="C6" s="46">
        <v>46230.46875</v>
      </c>
      <c r="D6" s="47" t="s">
        <v>107</v>
      </c>
      <c r="E6" s="47" t="s">
        <v>533</v>
      </c>
      <c r="F6" s="47" t="s">
        <v>12</v>
      </c>
      <c r="G6" s="47" t="s">
        <v>106</v>
      </c>
      <c r="H6" s="47" t="s">
        <v>16</v>
      </c>
      <c r="I6" s="47" t="s">
        <v>534</v>
      </c>
      <c r="J6" s="47" t="s">
        <v>8</v>
      </c>
      <c r="K6" s="47" t="s">
        <v>138</v>
      </c>
      <c r="L6" s="47" t="s">
        <v>535</v>
      </c>
      <c r="M6" s="47">
        <v>50</v>
      </c>
      <c r="N6" s="47">
        <v>36</v>
      </c>
      <c r="O6" s="48">
        <f t="shared" ref="O6:O69" si="0">IFERROR(N6/M6,"")</f>
        <v>0.72</v>
      </c>
      <c r="P6" s="47" t="str">
        <f t="shared" ref="P6:P69" si="1">IF(O6="","",IF(O6&gt;=0.75,"Proficient",IF(O6&gt;=0.5,"Nearly Proficient",IF(O6&gt;=0.25,"Low Proficient","Not Proficient"))))</f>
        <v>Nearly Proficient</v>
      </c>
      <c r="Q6" s="47"/>
      <c r="R6" s="47" t="s">
        <v>536</v>
      </c>
      <c r="S6" s="47" t="s">
        <v>537</v>
      </c>
      <c r="T6" s="47" t="s">
        <v>40</v>
      </c>
    </row>
    <row r="7" spans="1:20" ht="23.25" customHeight="1" x14ac:dyDescent="0.25">
      <c r="A7" s="47">
        <v>2</v>
      </c>
      <c r="B7" s="47">
        <v>1001</v>
      </c>
      <c r="C7" s="46">
        <v>46230.46875</v>
      </c>
      <c r="D7" s="47" t="s">
        <v>107</v>
      </c>
      <c r="E7" s="47" t="s">
        <v>533</v>
      </c>
      <c r="F7" s="47" t="s">
        <v>12</v>
      </c>
      <c r="G7" s="47" t="s">
        <v>106</v>
      </c>
      <c r="H7" s="47" t="s">
        <v>16</v>
      </c>
      <c r="I7" s="47" t="s">
        <v>534</v>
      </c>
      <c r="J7" s="47" t="s">
        <v>8</v>
      </c>
      <c r="K7" s="47" t="s">
        <v>143</v>
      </c>
      <c r="L7" s="47" t="s">
        <v>538</v>
      </c>
      <c r="M7" s="47">
        <v>50</v>
      </c>
      <c r="N7" s="47">
        <v>38</v>
      </c>
      <c r="O7" s="48">
        <f t="shared" si="0"/>
        <v>0.76</v>
      </c>
      <c r="P7" s="47" t="str">
        <f t="shared" si="1"/>
        <v>Proficient</v>
      </c>
      <c r="Q7" s="47"/>
      <c r="R7" s="47" t="s">
        <v>536</v>
      </c>
      <c r="S7" s="47" t="s">
        <v>537</v>
      </c>
      <c r="T7" s="47" t="s">
        <v>40</v>
      </c>
    </row>
    <row r="8" spans="1:20" ht="23.25" customHeight="1" x14ac:dyDescent="0.25">
      <c r="A8" s="47">
        <v>3</v>
      </c>
      <c r="B8" s="47">
        <v>1001</v>
      </c>
      <c r="C8" s="46">
        <v>46230.46875</v>
      </c>
      <c r="D8" s="47" t="s">
        <v>107</v>
      </c>
      <c r="E8" s="47" t="s">
        <v>533</v>
      </c>
      <c r="F8" s="47" t="s">
        <v>12</v>
      </c>
      <c r="G8" s="47" t="s">
        <v>106</v>
      </c>
      <c r="H8" s="47" t="s">
        <v>16</v>
      </c>
      <c r="I8" s="47" t="s">
        <v>534</v>
      </c>
      <c r="J8" s="47" t="s">
        <v>8</v>
      </c>
      <c r="K8" s="47" t="s">
        <v>145</v>
      </c>
      <c r="L8" s="47" t="s">
        <v>539</v>
      </c>
      <c r="M8" s="47">
        <v>50</v>
      </c>
      <c r="N8" s="47">
        <v>32</v>
      </c>
      <c r="O8" s="48">
        <f t="shared" si="0"/>
        <v>0.64</v>
      </c>
      <c r="P8" s="47" t="str">
        <f t="shared" si="1"/>
        <v>Nearly Proficient</v>
      </c>
      <c r="Q8" s="47"/>
      <c r="R8" s="47" t="s">
        <v>536</v>
      </c>
      <c r="S8" s="47" t="s">
        <v>537</v>
      </c>
      <c r="T8" s="47" t="s">
        <v>40</v>
      </c>
    </row>
    <row r="9" spans="1:20" ht="23.25" customHeight="1" x14ac:dyDescent="0.25">
      <c r="A9" s="47">
        <v>4</v>
      </c>
      <c r="B9" s="47">
        <v>1001</v>
      </c>
      <c r="C9" s="46">
        <v>46230.46875</v>
      </c>
      <c r="D9" s="47" t="s">
        <v>107</v>
      </c>
      <c r="E9" s="47" t="s">
        <v>533</v>
      </c>
      <c r="F9" s="47" t="s">
        <v>12</v>
      </c>
      <c r="G9" s="47" t="s">
        <v>106</v>
      </c>
      <c r="H9" s="47" t="s">
        <v>16</v>
      </c>
      <c r="I9" s="47" t="s">
        <v>534</v>
      </c>
      <c r="J9" s="47" t="s">
        <v>8</v>
      </c>
      <c r="K9" s="47" t="s">
        <v>147</v>
      </c>
      <c r="L9" s="47" t="s">
        <v>540</v>
      </c>
      <c r="M9" s="47">
        <v>50</v>
      </c>
      <c r="N9" s="47">
        <v>40</v>
      </c>
      <c r="O9" s="48">
        <f t="shared" si="0"/>
        <v>0.8</v>
      </c>
      <c r="P9" s="47" t="str">
        <f t="shared" si="1"/>
        <v>Proficient</v>
      </c>
      <c r="Q9" s="47"/>
      <c r="R9" s="47" t="s">
        <v>536</v>
      </c>
      <c r="S9" s="47" t="s">
        <v>537</v>
      </c>
      <c r="T9" s="47" t="s">
        <v>40</v>
      </c>
    </row>
    <row r="10" spans="1:20" ht="23.25" customHeight="1" x14ac:dyDescent="0.25">
      <c r="A10" s="47">
        <v>5</v>
      </c>
      <c r="B10" s="47">
        <v>1001</v>
      </c>
      <c r="C10" s="46">
        <v>46230.46875</v>
      </c>
      <c r="D10" s="47" t="s">
        <v>107</v>
      </c>
      <c r="E10" s="47" t="s">
        <v>533</v>
      </c>
      <c r="F10" s="47" t="s">
        <v>12</v>
      </c>
      <c r="G10" s="47" t="s">
        <v>106</v>
      </c>
      <c r="H10" s="47" t="s">
        <v>16</v>
      </c>
      <c r="I10" s="47" t="s">
        <v>534</v>
      </c>
      <c r="J10" s="47" t="s">
        <v>8</v>
      </c>
      <c r="K10" s="47" t="s">
        <v>149</v>
      </c>
      <c r="L10" s="47" t="s">
        <v>541</v>
      </c>
      <c r="M10" s="47">
        <v>50</v>
      </c>
      <c r="N10" s="47">
        <v>35</v>
      </c>
      <c r="O10" s="48">
        <f t="shared" si="0"/>
        <v>0.7</v>
      </c>
      <c r="P10" s="47" t="str">
        <f t="shared" si="1"/>
        <v>Nearly Proficient</v>
      </c>
      <c r="Q10" s="47"/>
      <c r="R10" s="47" t="s">
        <v>536</v>
      </c>
      <c r="S10" s="47" t="s">
        <v>537</v>
      </c>
      <c r="T10" s="47" t="s">
        <v>40</v>
      </c>
    </row>
    <row r="11" spans="1:20" ht="23.25" customHeight="1" x14ac:dyDescent="0.25">
      <c r="A11" s="47">
        <v>6</v>
      </c>
      <c r="B11" s="47">
        <v>1002</v>
      </c>
      <c r="C11" s="46">
        <v>46230.385416666701</v>
      </c>
      <c r="D11" s="47" t="s">
        <v>109</v>
      </c>
      <c r="E11" s="47" t="s">
        <v>542</v>
      </c>
      <c r="F11" s="47" t="s">
        <v>23</v>
      </c>
      <c r="G11" s="47" t="s">
        <v>108</v>
      </c>
      <c r="H11" s="47" t="s">
        <v>16</v>
      </c>
      <c r="I11" s="47" t="s">
        <v>543</v>
      </c>
      <c r="J11" s="47" t="s">
        <v>22</v>
      </c>
      <c r="K11" s="47" t="s">
        <v>151</v>
      </c>
      <c r="L11" s="47" t="s">
        <v>544</v>
      </c>
      <c r="M11" s="47">
        <v>40</v>
      </c>
      <c r="N11" s="47">
        <v>21</v>
      </c>
      <c r="O11" s="48">
        <f t="shared" si="0"/>
        <v>0.52500000000000002</v>
      </c>
      <c r="P11" s="47" t="str">
        <f t="shared" si="1"/>
        <v>Nearly Proficient</v>
      </c>
      <c r="Q11" s="47"/>
      <c r="R11" s="47" t="s">
        <v>545</v>
      </c>
      <c r="S11" s="47" t="s">
        <v>537</v>
      </c>
      <c r="T11" s="47" t="s">
        <v>40</v>
      </c>
    </row>
    <row r="12" spans="1:20" ht="23.25" customHeight="1" x14ac:dyDescent="0.25">
      <c r="A12" s="47">
        <v>7</v>
      </c>
      <c r="B12" s="47">
        <v>1002</v>
      </c>
      <c r="C12" s="46">
        <v>46230.385416666701</v>
      </c>
      <c r="D12" s="47" t="s">
        <v>109</v>
      </c>
      <c r="E12" s="47" t="s">
        <v>542</v>
      </c>
      <c r="F12" s="47" t="s">
        <v>23</v>
      </c>
      <c r="G12" s="47" t="s">
        <v>108</v>
      </c>
      <c r="H12" s="47" t="s">
        <v>16</v>
      </c>
      <c r="I12" s="47" t="s">
        <v>543</v>
      </c>
      <c r="J12" s="47" t="s">
        <v>22</v>
      </c>
      <c r="K12" s="47" t="s">
        <v>153</v>
      </c>
      <c r="L12" s="47" t="s">
        <v>546</v>
      </c>
      <c r="M12" s="47">
        <v>40</v>
      </c>
      <c r="N12" s="47">
        <v>25</v>
      </c>
      <c r="O12" s="48">
        <f t="shared" si="0"/>
        <v>0.625</v>
      </c>
      <c r="P12" s="47" t="str">
        <f t="shared" si="1"/>
        <v>Nearly Proficient</v>
      </c>
      <c r="Q12" s="47"/>
      <c r="R12" s="47" t="s">
        <v>545</v>
      </c>
      <c r="S12" s="47" t="s">
        <v>537</v>
      </c>
      <c r="T12" s="47" t="s">
        <v>40</v>
      </c>
    </row>
    <row r="13" spans="1:20" ht="23.25" customHeight="1" x14ac:dyDescent="0.25">
      <c r="A13" s="47">
        <v>8</v>
      </c>
      <c r="B13" s="47">
        <v>1002</v>
      </c>
      <c r="C13" s="46">
        <v>46230.385416666701</v>
      </c>
      <c r="D13" s="47" t="s">
        <v>109</v>
      </c>
      <c r="E13" s="47" t="s">
        <v>542</v>
      </c>
      <c r="F13" s="47" t="s">
        <v>23</v>
      </c>
      <c r="G13" s="47" t="s">
        <v>108</v>
      </c>
      <c r="H13" s="47" t="s">
        <v>16</v>
      </c>
      <c r="I13" s="47" t="s">
        <v>543</v>
      </c>
      <c r="J13" s="47" t="s">
        <v>22</v>
      </c>
      <c r="K13" s="47" t="s">
        <v>155</v>
      </c>
      <c r="L13" s="47" t="s">
        <v>547</v>
      </c>
      <c r="M13" s="47">
        <v>40</v>
      </c>
      <c r="N13" s="47">
        <v>20</v>
      </c>
      <c r="O13" s="48">
        <f t="shared" si="0"/>
        <v>0.5</v>
      </c>
      <c r="P13" s="47" t="str">
        <f t="shared" si="1"/>
        <v>Nearly Proficient</v>
      </c>
      <c r="Q13" s="47"/>
      <c r="R13" s="47" t="s">
        <v>545</v>
      </c>
      <c r="S13" s="47" t="s">
        <v>537</v>
      </c>
      <c r="T13" s="47" t="s">
        <v>40</v>
      </c>
    </row>
    <row r="14" spans="1:20" ht="23.25" customHeight="1" x14ac:dyDescent="0.25">
      <c r="A14" s="47">
        <v>9</v>
      </c>
      <c r="B14" s="47">
        <v>1002</v>
      </c>
      <c r="C14" s="46">
        <v>46230.385416666701</v>
      </c>
      <c r="D14" s="47" t="s">
        <v>109</v>
      </c>
      <c r="E14" s="47" t="s">
        <v>542</v>
      </c>
      <c r="F14" s="47" t="s">
        <v>23</v>
      </c>
      <c r="G14" s="47" t="s">
        <v>108</v>
      </c>
      <c r="H14" s="47" t="s">
        <v>16</v>
      </c>
      <c r="I14" s="47" t="s">
        <v>543</v>
      </c>
      <c r="J14" s="47" t="s">
        <v>22</v>
      </c>
      <c r="K14" s="47" t="s">
        <v>157</v>
      </c>
      <c r="L14" s="47" t="s">
        <v>548</v>
      </c>
      <c r="M14" s="47">
        <v>40</v>
      </c>
      <c r="N14" s="47">
        <v>18</v>
      </c>
      <c r="O14" s="48">
        <f t="shared" si="0"/>
        <v>0.45</v>
      </c>
      <c r="P14" s="47" t="str">
        <f t="shared" si="1"/>
        <v>Low Proficient</v>
      </c>
      <c r="Q14" s="47"/>
      <c r="R14" s="47" t="s">
        <v>545</v>
      </c>
      <c r="S14" s="47" t="s">
        <v>537</v>
      </c>
      <c r="T14" s="47" t="s">
        <v>40</v>
      </c>
    </row>
    <row r="15" spans="1:20" ht="23.25" customHeight="1" x14ac:dyDescent="0.25">
      <c r="A15" s="47">
        <v>10</v>
      </c>
      <c r="B15" s="47">
        <v>1002</v>
      </c>
      <c r="C15" s="46">
        <v>46230.385416666701</v>
      </c>
      <c r="D15" s="47" t="s">
        <v>109</v>
      </c>
      <c r="E15" s="47" t="s">
        <v>542</v>
      </c>
      <c r="F15" s="47" t="s">
        <v>23</v>
      </c>
      <c r="G15" s="47" t="s">
        <v>108</v>
      </c>
      <c r="H15" s="47" t="s">
        <v>16</v>
      </c>
      <c r="I15" s="47" t="s">
        <v>543</v>
      </c>
      <c r="J15" s="47" t="s">
        <v>22</v>
      </c>
      <c r="K15" s="47" t="s">
        <v>159</v>
      </c>
      <c r="L15" s="47" t="s">
        <v>549</v>
      </c>
      <c r="M15" s="47">
        <v>40</v>
      </c>
      <c r="N15" s="47">
        <v>26</v>
      </c>
      <c r="O15" s="48">
        <f t="shared" si="0"/>
        <v>0.65</v>
      </c>
      <c r="P15" s="47" t="str">
        <f t="shared" si="1"/>
        <v>Nearly Proficient</v>
      </c>
      <c r="Q15" s="47"/>
      <c r="R15" s="47" t="s">
        <v>545</v>
      </c>
      <c r="S15" s="47" t="s">
        <v>537</v>
      </c>
      <c r="T15" s="47" t="s">
        <v>40</v>
      </c>
    </row>
    <row r="16" spans="1:20" ht="23.25" customHeight="1" x14ac:dyDescent="0.25">
      <c r="A16" s="47">
        <v>11</v>
      </c>
      <c r="B16" s="47">
        <v>1003</v>
      </c>
      <c r="C16" s="46">
        <v>46230.427083333299</v>
      </c>
      <c r="D16" s="47" t="s">
        <v>111</v>
      </c>
      <c r="E16" s="47" t="s">
        <v>550</v>
      </c>
      <c r="F16" s="47" t="s">
        <v>26</v>
      </c>
      <c r="G16" s="47" t="s">
        <v>110</v>
      </c>
      <c r="H16" s="47" t="s">
        <v>16</v>
      </c>
      <c r="I16" s="47" t="s">
        <v>534</v>
      </c>
      <c r="J16" s="47" t="s">
        <v>11</v>
      </c>
      <c r="K16" s="47" t="s">
        <v>161</v>
      </c>
      <c r="L16" s="47" t="s">
        <v>551</v>
      </c>
      <c r="M16" s="47">
        <v>30</v>
      </c>
      <c r="N16" s="47">
        <v>24</v>
      </c>
      <c r="O16" s="48">
        <f t="shared" si="0"/>
        <v>0.8</v>
      </c>
      <c r="P16" s="47" t="str">
        <f t="shared" si="1"/>
        <v>Proficient</v>
      </c>
      <c r="Q16" s="47"/>
      <c r="R16" s="47" t="s">
        <v>552</v>
      </c>
      <c r="S16" s="47" t="s">
        <v>537</v>
      </c>
      <c r="T16" s="47" t="s">
        <v>40</v>
      </c>
    </row>
    <row r="17" spans="1:20" ht="23.25" customHeight="1" x14ac:dyDescent="0.25">
      <c r="A17" s="47">
        <v>12</v>
      </c>
      <c r="B17" s="47">
        <v>1003</v>
      </c>
      <c r="C17" s="46">
        <v>46230.427083333299</v>
      </c>
      <c r="D17" s="47" t="s">
        <v>111</v>
      </c>
      <c r="E17" s="47" t="s">
        <v>550</v>
      </c>
      <c r="F17" s="47" t="s">
        <v>26</v>
      </c>
      <c r="G17" s="47" t="s">
        <v>110</v>
      </c>
      <c r="H17" s="47" t="s">
        <v>16</v>
      </c>
      <c r="I17" s="47" t="s">
        <v>534</v>
      </c>
      <c r="J17" s="47" t="s">
        <v>11</v>
      </c>
      <c r="K17" s="47" t="s">
        <v>163</v>
      </c>
      <c r="L17" s="47" t="s">
        <v>553</v>
      </c>
      <c r="M17" s="47">
        <v>30</v>
      </c>
      <c r="N17" s="47">
        <v>25</v>
      </c>
      <c r="O17" s="48">
        <f t="shared" si="0"/>
        <v>0.83333333333333337</v>
      </c>
      <c r="P17" s="47" t="str">
        <f t="shared" si="1"/>
        <v>Proficient</v>
      </c>
      <c r="Q17" s="47"/>
      <c r="R17" s="47" t="s">
        <v>552</v>
      </c>
      <c r="S17" s="47" t="s">
        <v>537</v>
      </c>
      <c r="T17" s="47" t="s">
        <v>40</v>
      </c>
    </row>
    <row r="18" spans="1:20" ht="23.25" customHeight="1" x14ac:dyDescent="0.25">
      <c r="A18" s="47">
        <v>13</v>
      </c>
      <c r="B18" s="47">
        <v>1003</v>
      </c>
      <c r="C18" s="46">
        <v>46230.427083333299</v>
      </c>
      <c r="D18" s="47" t="s">
        <v>111</v>
      </c>
      <c r="E18" s="47" t="s">
        <v>550</v>
      </c>
      <c r="F18" s="47" t="s">
        <v>26</v>
      </c>
      <c r="G18" s="47" t="s">
        <v>110</v>
      </c>
      <c r="H18" s="47" t="s">
        <v>16</v>
      </c>
      <c r="I18" s="47" t="s">
        <v>534</v>
      </c>
      <c r="J18" s="47" t="s">
        <v>11</v>
      </c>
      <c r="K18" s="47" t="s">
        <v>165</v>
      </c>
      <c r="L18" s="47" t="s">
        <v>554</v>
      </c>
      <c r="M18" s="47">
        <v>30</v>
      </c>
      <c r="N18" s="47">
        <v>22</v>
      </c>
      <c r="O18" s="48">
        <f t="shared" si="0"/>
        <v>0.73333333333333328</v>
      </c>
      <c r="P18" s="47" t="str">
        <f t="shared" si="1"/>
        <v>Nearly Proficient</v>
      </c>
      <c r="Q18" s="47"/>
      <c r="R18" s="47" t="s">
        <v>552</v>
      </c>
      <c r="S18" s="47" t="s">
        <v>537</v>
      </c>
      <c r="T18" s="47" t="s">
        <v>40</v>
      </c>
    </row>
    <row r="19" spans="1:20" ht="23.25" customHeight="1" x14ac:dyDescent="0.25">
      <c r="A19" s="47">
        <v>14</v>
      </c>
      <c r="B19" s="47">
        <v>1003</v>
      </c>
      <c r="C19" s="46">
        <v>46230.427083333299</v>
      </c>
      <c r="D19" s="47" t="s">
        <v>111</v>
      </c>
      <c r="E19" s="47" t="s">
        <v>550</v>
      </c>
      <c r="F19" s="47" t="s">
        <v>26</v>
      </c>
      <c r="G19" s="47" t="s">
        <v>110</v>
      </c>
      <c r="H19" s="47" t="s">
        <v>16</v>
      </c>
      <c r="I19" s="47" t="s">
        <v>534</v>
      </c>
      <c r="J19" s="47" t="s">
        <v>11</v>
      </c>
      <c r="K19" s="47" t="s">
        <v>167</v>
      </c>
      <c r="L19" s="47" t="s">
        <v>555</v>
      </c>
      <c r="M19" s="47">
        <v>30</v>
      </c>
      <c r="N19" s="47">
        <v>27</v>
      </c>
      <c r="O19" s="48">
        <f t="shared" si="0"/>
        <v>0.9</v>
      </c>
      <c r="P19" s="47" t="str">
        <f t="shared" si="1"/>
        <v>Proficient</v>
      </c>
      <c r="Q19" s="47"/>
      <c r="R19" s="47" t="s">
        <v>552</v>
      </c>
      <c r="S19" s="47" t="s">
        <v>537</v>
      </c>
      <c r="T19" s="47" t="s">
        <v>40</v>
      </c>
    </row>
    <row r="20" spans="1:20" ht="23.25" customHeight="1" x14ac:dyDescent="0.25">
      <c r="A20" s="47">
        <v>15</v>
      </c>
      <c r="B20" s="47">
        <v>1003</v>
      </c>
      <c r="C20" s="46">
        <v>46230.427083333299</v>
      </c>
      <c r="D20" s="47" t="s">
        <v>111</v>
      </c>
      <c r="E20" s="47" t="s">
        <v>550</v>
      </c>
      <c r="F20" s="47" t="s">
        <v>26</v>
      </c>
      <c r="G20" s="47" t="s">
        <v>110</v>
      </c>
      <c r="H20" s="47" t="s">
        <v>16</v>
      </c>
      <c r="I20" s="47" t="s">
        <v>534</v>
      </c>
      <c r="J20" s="47" t="s">
        <v>11</v>
      </c>
      <c r="K20" s="47" t="s">
        <v>169</v>
      </c>
      <c r="L20" s="47" t="s">
        <v>556</v>
      </c>
      <c r="M20" s="47">
        <v>30</v>
      </c>
      <c r="N20" s="47">
        <v>21</v>
      </c>
      <c r="O20" s="48">
        <f t="shared" si="0"/>
        <v>0.7</v>
      </c>
      <c r="P20" s="47" t="str">
        <f t="shared" si="1"/>
        <v>Nearly Proficient</v>
      </c>
      <c r="Q20" s="47"/>
      <c r="R20" s="47" t="s">
        <v>552</v>
      </c>
      <c r="S20" s="47" t="s">
        <v>537</v>
      </c>
      <c r="T20" s="47" t="s">
        <v>40</v>
      </c>
    </row>
    <row r="21" spans="1:20" ht="15" customHeight="1" x14ac:dyDescent="0.25">
      <c r="A21" s="47"/>
      <c r="B21" s="47"/>
      <c r="C21" s="46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 t="str">
        <f t="shared" si="0"/>
        <v/>
      </c>
      <c r="P21" s="47" t="str">
        <f t="shared" si="1"/>
        <v/>
      </c>
      <c r="Q21" s="47"/>
      <c r="R21" s="47"/>
      <c r="S21" s="47"/>
      <c r="T21" s="47"/>
    </row>
    <row r="22" spans="1:20" ht="15" customHeight="1" x14ac:dyDescent="0.25">
      <c r="A22" s="47"/>
      <c r="B22" s="47"/>
      <c r="C22" s="46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 t="str">
        <f t="shared" si="0"/>
        <v/>
      </c>
      <c r="P22" s="47" t="str">
        <f t="shared" si="1"/>
        <v/>
      </c>
      <c r="Q22" s="47"/>
      <c r="R22" s="47"/>
      <c r="S22" s="47"/>
      <c r="T22" s="47"/>
    </row>
    <row r="23" spans="1:20" ht="15" customHeight="1" x14ac:dyDescent="0.25">
      <c r="A23" s="47"/>
      <c r="B23" s="47"/>
      <c r="C23" s="46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 t="str">
        <f t="shared" si="0"/>
        <v/>
      </c>
      <c r="P23" s="47" t="str">
        <f t="shared" si="1"/>
        <v/>
      </c>
      <c r="Q23" s="47"/>
      <c r="R23" s="47"/>
      <c r="S23" s="47"/>
      <c r="T23" s="47"/>
    </row>
    <row r="24" spans="1:20" ht="15" customHeight="1" x14ac:dyDescent="0.25">
      <c r="A24" s="47"/>
      <c r="B24" s="47"/>
      <c r="C24" s="46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8" t="str">
        <f t="shared" si="0"/>
        <v/>
      </c>
      <c r="P24" s="47" t="str">
        <f t="shared" si="1"/>
        <v/>
      </c>
      <c r="Q24" s="47"/>
      <c r="R24" s="47"/>
      <c r="S24" s="47"/>
      <c r="T24" s="47"/>
    </row>
    <row r="25" spans="1:20" ht="15" customHeight="1" x14ac:dyDescent="0.25">
      <c r="A25" s="47"/>
      <c r="B25" s="47"/>
      <c r="C25" s="46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8" t="str">
        <f t="shared" si="0"/>
        <v/>
      </c>
      <c r="P25" s="47" t="str">
        <f t="shared" si="1"/>
        <v/>
      </c>
      <c r="Q25" s="47"/>
      <c r="R25" s="47"/>
      <c r="S25" s="47"/>
      <c r="T25" s="47"/>
    </row>
    <row r="26" spans="1:20" ht="15" customHeight="1" x14ac:dyDescent="0.25">
      <c r="A26" s="47"/>
      <c r="B26" s="47"/>
      <c r="C26" s="46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8" t="str">
        <f t="shared" si="0"/>
        <v/>
      </c>
      <c r="P26" s="47" t="str">
        <f t="shared" si="1"/>
        <v/>
      </c>
      <c r="Q26" s="47"/>
      <c r="R26" s="47"/>
      <c r="S26" s="47"/>
      <c r="T26" s="47"/>
    </row>
    <row r="27" spans="1:20" ht="15" customHeight="1" x14ac:dyDescent="0.25">
      <c r="A27" s="47"/>
      <c r="B27" s="47"/>
      <c r="C27" s="4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 t="str">
        <f t="shared" si="0"/>
        <v/>
      </c>
      <c r="P27" s="47" t="str">
        <f t="shared" si="1"/>
        <v/>
      </c>
      <c r="Q27" s="47"/>
      <c r="R27" s="47"/>
      <c r="S27" s="47"/>
      <c r="T27" s="47"/>
    </row>
    <row r="28" spans="1:20" ht="15" customHeight="1" x14ac:dyDescent="0.25">
      <c r="A28" s="47"/>
      <c r="B28" s="47"/>
      <c r="C28" s="46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 t="str">
        <f t="shared" si="0"/>
        <v/>
      </c>
      <c r="P28" s="47" t="str">
        <f t="shared" si="1"/>
        <v/>
      </c>
      <c r="Q28" s="47"/>
      <c r="R28" s="47"/>
      <c r="S28" s="47"/>
      <c r="T28" s="47"/>
    </row>
    <row r="29" spans="1:20" ht="15" customHeight="1" x14ac:dyDescent="0.25">
      <c r="A29" s="47"/>
      <c r="B29" s="47"/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 t="str">
        <f t="shared" si="0"/>
        <v/>
      </c>
      <c r="P29" s="47" t="str">
        <f t="shared" si="1"/>
        <v/>
      </c>
      <c r="Q29" s="47"/>
      <c r="R29" s="47"/>
      <c r="S29" s="47"/>
      <c r="T29" s="47"/>
    </row>
    <row r="30" spans="1:20" ht="15" customHeight="1" x14ac:dyDescent="0.25">
      <c r="A30" s="47"/>
      <c r="B30" s="47"/>
      <c r="C30" s="46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 t="str">
        <f t="shared" si="0"/>
        <v/>
      </c>
      <c r="P30" s="47" t="str">
        <f t="shared" si="1"/>
        <v/>
      </c>
      <c r="Q30" s="47"/>
      <c r="R30" s="47"/>
      <c r="S30" s="47"/>
      <c r="T30" s="47"/>
    </row>
    <row r="31" spans="1:20" ht="15" customHeight="1" x14ac:dyDescent="0.25">
      <c r="A31" s="47"/>
      <c r="B31" s="47"/>
      <c r="C31" s="46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8" t="str">
        <f t="shared" si="0"/>
        <v/>
      </c>
      <c r="P31" s="47" t="str">
        <f t="shared" si="1"/>
        <v/>
      </c>
      <c r="Q31" s="47"/>
      <c r="R31" s="47"/>
      <c r="S31" s="47"/>
      <c r="T31" s="47"/>
    </row>
    <row r="32" spans="1:20" ht="15" customHeight="1" x14ac:dyDescent="0.25">
      <c r="A32" s="47"/>
      <c r="B32" s="47"/>
      <c r="C32" s="46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 t="str">
        <f t="shared" si="0"/>
        <v/>
      </c>
      <c r="P32" s="47" t="str">
        <f t="shared" si="1"/>
        <v/>
      </c>
      <c r="Q32" s="47"/>
      <c r="R32" s="47"/>
      <c r="S32" s="47"/>
      <c r="T32" s="47"/>
    </row>
    <row r="33" spans="1:20" ht="15" customHeight="1" x14ac:dyDescent="0.25">
      <c r="A33" s="47"/>
      <c r="B33" s="4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8" t="str">
        <f t="shared" si="0"/>
        <v/>
      </c>
      <c r="P33" s="47" t="str">
        <f t="shared" si="1"/>
        <v/>
      </c>
      <c r="Q33" s="47"/>
      <c r="R33" s="47"/>
      <c r="S33" s="47"/>
      <c r="T33" s="47"/>
    </row>
    <row r="34" spans="1:20" ht="15" customHeight="1" x14ac:dyDescent="0.25">
      <c r="A34" s="47"/>
      <c r="B34" s="47"/>
      <c r="C34" s="46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8" t="str">
        <f t="shared" si="0"/>
        <v/>
      </c>
      <c r="P34" s="47" t="str">
        <f t="shared" si="1"/>
        <v/>
      </c>
      <c r="Q34" s="47"/>
      <c r="R34" s="47"/>
      <c r="S34" s="47"/>
      <c r="T34" s="47"/>
    </row>
    <row r="35" spans="1:20" ht="15" customHeight="1" x14ac:dyDescent="0.25">
      <c r="A35" s="47"/>
      <c r="B35" s="47"/>
      <c r="C35" s="4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8" t="str">
        <f t="shared" si="0"/>
        <v/>
      </c>
      <c r="P35" s="47" t="str">
        <f t="shared" si="1"/>
        <v/>
      </c>
      <c r="Q35" s="47"/>
      <c r="R35" s="47"/>
      <c r="S35" s="47"/>
      <c r="T35" s="47"/>
    </row>
    <row r="36" spans="1:20" ht="15" customHeight="1" x14ac:dyDescent="0.25">
      <c r="A36" s="47"/>
      <c r="B36" s="47"/>
      <c r="C36" s="46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8" t="str">
        <f t="shared" si="0"/>
        <v/>
      </c>
      <c r="P36" s="47" t="str">
        <f t="shared" si="1"/>
        <v/>
      </c>
      <c r="Q36" s="47"/>
      <c r="R36" s="47"/>
      <c r="S36" s="47"/>
      <c r="T36" s="47"/>
    </row>
    <row r="37" spans="1:20" ht="15" customHeight="1" x14ac:dyDescent="0.25">
      <c r="A37" s="47"/>
      <c r="B37" s="47"/>
      <c r="C37" s="46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8" t="str">
        <f t="shared" si="0"/>
        <v/>
      </c>
      <c r="P37" s="47" t="str">
        <f t="shared" si="1"/>
        <v/>
      </c>
      <c r="Q37" s="47"/>
      <c r="R37" s="47"/>
      <c r="S37" s="47"/>
      <c r="T37" s="47"/>
    </row>
    <row r="38" spans="1:20" ht="15" customHeight="1" x14ac:dyDescent="0.25">
      <c r="A38" s="47"/>
      <c r="B38" s="47"/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8" t="str">
        <f t="shared" si="0"/>
        <v/>
      </c>
      <c r="P38" s="47" t="str">
        <f t="shared" si="1"/>
        <v/>
      </c>
      <c r="Q38" s="47"/>
      <c r="R38" s="47"/>
      <c r="S38" s="47"/>
      <c r="T38" s="47"/>
    </row>
    <row r="39" spans="1:20" ht="15" customHeight="1" x14ac:dyDescent="0.25">
      <c r="A39" s="47"/>
      <c r="B39" s="47"/>
      <c r="C39" s="4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 t="str">
        <f t="shared" si="0"/>
        <v/>
      </c>
      <c r="P39" s="47" t="str">
        <f t="shared" si="1"/>
        <v/>
      </c>
      <c r="Q39" s="47"/>
      <c r="R39" s="47"/>
      <c r="S39" s="47"/>
      <c r="T39" s="47"/>
    </row>
    <row r="40" spans="1:20" ht="15" customHeight="1" x14ac:dyDescent="0.25">
      <c r="A40" s="47"/>
      <c r="B40" s="47"/>
      <c r="C40" s="46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8" t="str">
        <f t="shared" si="0"/>
        <v/>
      </c>
      <c r="P40" s="47" t="str">
        <f t="shared" si="1"/>
        <v/>
      </c>
      <c r="Q40" s="47"/>
      <c r="R40" s="47"/>
      <c r="S40" s="47"/>
      <c r="T40" s="47"/>
    </row>
    <row r="41" spans="1:20" ht="15" customHeight="1" x14ac:dyDescent="0.25">
      <c r="A41" s="47"/>
      <c r="B41" s="47"/>
      <c r="C41" s="46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 t="str">
        <f t="shared" si="0"/>
        <v/>
      </c>
      <c r="P41" s="47" t="str">
        <f t="shared" si="1"/>
        <v/>
      </c>
      <c r="Q41" s="47"/>
      <c r="R41" s="47"/>
      <c r="S41" s="47"/>
      <c r="T41" s="47"/>
    </row>
    <row r="42" spans="1:20" ht="15" customHeight="1" x14ac:dyDescent="0.25">
      <c r="A42" s="47"/>
      <c r="B42" s="47"/>
      <c r="C42" s="46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8" t="str">
        <f t="shared" si="0"/>
        <v/>
      </c>
      <c r="P42" s="47" t="str">
        <f t="shared" si="1"/>
        <v/>
      </c>
      <c r="Q42" s="47"/>
      <c r="R42" s="47"/>
      <c r="S42" s="47"/>
      <c r="T42" s="47"/>
    </row>
    <row r="43" spans="1:20" ht="15" customHeight="1" x14ac:dyDescent="0.25">
      <c r="A43" s="47"/>
      <c r="B43" s="47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 t="str">
        <f t="shared" si="0"/>
        <v/>
      </c>
      <c r="P43" s="47" t="str">
        <f t="shared" si="1"/>
        <v/>
      </c>
      <c r="Q43" s="47"/>
      <c r="R43" s="47"/>
      <c r="S43" s="47"/>
      <c r="T43" s="47"/>
    </row>
    <row r="44" spans="1:20" ht="15" customHeight="1" x14ac:dyDescent="0.25">
      <c r="A44" s="47"/>
      <c r="B44" s="47"/>
      <c r="C44" s="46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8" t="str">
        <f t="shared" si="0"/>
        <v/>
      </c>
      <c r="P44" s="47" t="str">
        <f t="shared" si="1"/>
        <v/>
      </c>
      <c r="Q44" s="47"/>
      <c r="R44" s="47"/>
      <c r="S44" s="47"/>
      <c r="T44" s="47"/>
    </row>
    <row r="45" spans="1:20" ht="15" customHeight="1" x14ac:dyDescent="0.25">
      <c r="A45" s="47"/>
      <c r="B45" s="47"/>
      <c r="C45" s="46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8" t="str">
        <f t="shared" si="0"/>
        <v/>
      </c>
      <c r="P45" s="47" t="str">
        <f t="shared" si="1"/>
        <v/>
      </c>
      <c r="Q45" s="47"/>
      <c r="R45" s="47"/>
      <c r="S45" s="47"/>
      <c r="T45" s="47"/>
    </row>
    <row r="46" spans="1:20" ht="15" customHeight="1" x14ac:dyDescent="0.25">
      <c r="A46" s="47"/>
      <c r="B46" s="47"/>
      <c r="C46" s="4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8" t="str">
        <f t="shared" si="0"/>
        <v/>
      </c>
      <c r="P46" s="47" t="str">
        <f t="shared" si="1"/>
        <v/>
      </c>
      <c r="Q46" s="47"/>
      <c r="R46" s="47"/>
      <c r="S46" s="47"/>
      <c r="T46" s="47"/>
    </row>
    <row r="47" spans="1:20" ht="15" customHeight="1" x14ac:dyDescent="0.25">
      <c r="A47" s="47"/>
      <c r="B47" s="47"/>
      <c r="C47" s="46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8" t="str">
        <f t="shared" si="0"/>
        <v/>
      </c>
      <c r="P47" s="47" t="str">
        <f t="shared" si="1"/>
        <v/>
      </c>
      <c r="Q47" s="47"/>
      <c r="R47" s="47"/>
      <c r="S47" s="47"/>
      <c r="T47" s="47"/>
    </row>
    <row r="48" spans="1:20" ht="15" customHeight="1" x14ac:dyDescent="0.25">
      <c r="A48" s="47"/>
      <c r="B48" s="47"/>
      <c r="C48" s="46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8" t="str">
        <f t="shared" si="0"/>
        <v/>
      </c>
      <c r="P48" s="47" t="str">
        <f t="shared" si="1"/>
        <v/>
      </c>
      <c r="Q48" s="47"/>
      <c r="R48" s="47"/>
      <c r="S48" s="47"/>
      <c r="T48" s="47"/>
    </row>
    <row r="49" spans="1:20" ht="15" customHeight="1" x14ac:dyDescent="0.25">
      <c r="A49" s="47"/>
      <c r="B49" s="47"/>
      <c r="C49" s="46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8" t="str">
        <f t="shared" si="0"/>
        <v/>
      </c>
      <c r="P49" s="47" t="str">
        <f t="shared" si="1"/>
        <v/>
      </c>
      <c r="Q49" s="47"/>
      <c r="R49" s="47"/>
      <c r="S49" s="47"/>
      <c r="T49" s="47"/>
    </row>
    <row r="50" spans="1:20" ht="15" customHeight="1" x14ac:dyDescent="0.25">
      <c r="A50" s="47"/>
      <c r="B50" s="47"/>
      <c r="C50" s="46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8" t="str">
        <f t="shared" si="0"/>
        <v/>
      </c>
      <c r="P50" s="47" t="str">
        <f t="shared" si="1"/>
        <v/>
      </c>
      <c r="Q50" s="47"/>
      <c r="R50" s="47"/>
      <c r="S50" s="47"/>
      <c r="T50" s="47"/>
    </row>
    <row r="51" spans="1:20" ht="15" customHeight="1" x14ac:dyDescent="0.25">
      <c r="A51" s="47"/>
      <c r="B51" s="47"/>
      <c r="C51" s="46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8" t="str">
        <f t="shared" si="0"/>
        <v/>
      </c>
      <c r="P51" s="47" t="str">
        <f t="shared" si="1"/>
        <v/>
      </c>
      <c r="Q51" s="47"/>
      <c r="R51" s="47"/>
      <c r="S51" s="47"/>
      <c r="T51" s="47"/>
    </row>
    <row r="52" spans="1:20" ht="15" customHeight="1" x14ac:dyDescent="0.25">
      <c r="A52" s="47"/>
      <c r="B52" s="47"/>
      <c r="C52" s="4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8" t="str">
        <f t="shared" si="0"/>
        <v/>
      </c>
      <c r="P52" s="47" t="str">
        <f t="shared" si="1"/>
        <v/>
      </c>
      <c r="Q52" s="47"/>
      <c r="R52" s="47"/>
      <c r="S52" s="47"/>
      <c r="T52" s="47"/>
    </row>
    <row r="53" spans="1:20" ht="15" customHeight="1" x14ac:dyDescent="0.25">
      <c r="A53" s="47"/>
      <c r="B53" s="47"/>
      <c r="C53" s="46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 t="str">
        <f t="shared" si="0"/>
        <v/>
      </c>
      <c r="P53" s="47" t="str">
        <f t="shared" si="1"/>
        <v/>
      </c>
      <c r="Q53" s="47"/>
      <c r="R53" s="47"/>
      <c r="S53" s="47"/>
      <c r="T53" s="47"/>
    </row>
    <row r="54" spans="1:20" ht="15" customHeight="1" x14ac:dyDescent="0.25">
      <c r="A54" s="47"/>
      <c r="B54" s="47"/>
      <c r="C54" s="46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8" t="str">
        <f t="shared" si="0"/>
        <v/>
      </c>
      <c r="P54" s="47" t="str">
        <f t="shared" si="1"/>
        <v/>
      </c>
      <c r="Q54" s="47"/>
      <c r="R54" s="47"/>
      <c r="S54" s="47"/>
      <c r="T54" s="47"/>
    </row>
    <row r="55" spans="1:20" ht="15" customHeight="1" x14ac:dyDescent="0.25">
      <c r="A55" s="47"/>
      <c r="B55" s="47"/>
      <c r="C55" s="46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8" t="str">
        <f t="shared" si="0"/>
        <v/>
      </c>
      <c r="P55" s="47" t="str">
        <f t="shared" si="1"/>
        <v/>
      </c>
      <c r="Q55" s="47"/>
      <c r="R55" s="47"/>
      <c r="S55" s="47"/>
      <c r="T55" s="47"/>
    </row>
    <row r="56" spans="1:20" ht="15" customHeight="1" x14ac:dyDescent="0.25">
      <c r="A56" s="47"/>
      <c r="B56" s="47"/>
      <c r="C56" s="4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8" t="str">
        <f t="shared" si="0"/>
        <v/>
      </c>
      <c r="P56" s="47" t="str">
        <f t="shared" si="1"/>
        <v/>
      </c>
      <c r="Q56" s="47"/>
      <c r="R56" s="47"/>
      <c r="S56" s="47"/>
      <c r="T56" s="47"/>
    </row>
    <row r="57" spans="1:20" ht="15" customHeight="1" x14ac:dyDescent="0.25">
      <c r="A57" s="47"/>
      <c r="B57" s="47"/>
      <c r="C57" s="46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8" t="str">
        <f t="shared" si="0"/>
        <v/>
      </c>
      <c r="P57" s="47" t="str">
        <f t="shared" si="1"/>
        <v/>
      </c>
      <c r="Q57" s="47"/>
      <c r="R57" s="47"/>
      <c r="S57" s="47"/>
      <c r="T57" s="47"/>
    </row>
    <row r="58" spans="1:20" ht="15" customHeight="1" x14ac:dyDescent="0.25">
      <c r="A58" s="47"/>
      <c r="B58" s="47"/>
      <c r="C58" s="46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8" t="str">
        <f t="shared" si="0"/>
        <v/>
      </c>
      <c r="P58" s="47" t="str">
        <f t="shared" si="1"/>
        <v/>
      </c>
      <c r="Q58" s="47"/>
      <c r="R58" s="47"/>
      <c r="S58" s="47"/>
      <c r="T58" s="47"/>
    </row>
    <row r="59" spans="1:20" ht="15" customHeight="1" x14ac:dyDescent="0.25">
      <c r="A59" s="47"/>
      <c r="B59" s="47"/>
      <c r="C59" s="46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8" t="str">
        <f t="shared" si="0"/>
        <v/>
      </c>
      <c r="P59" s="47" t="str">
        <f t="shared" si="1"/>
        <v/>
      </c>
      <c r="Q59" s="47"/>
      <c r="R59" s="47"/>
      <c r="S59" s="47"/>
      <c r="T59" s="47"/>
    </row>
    <row r="60" spans="1:20" ht="15" customHeight="1" x14ac:dyDescent="0.25">
      <c r="A60" s="47"/>
      <c r="B60" s="47"/>
      <c r="C60" s="46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8" t="str">
        <f t="shared" si="0"/>
        <v/>
      </c>
      <c r="P60" s="47" t="str">
        <f t="shared" si="1"/>
        <v/>
      </c>
      <c r="Q60" s="47"/>
      <c r="R60" s="47"/>
      <c r="S60" s="47"/>
      <c r="T60" s="47"/>
    </row>
    <row r="61" spans="1:20" ht="15" customHeight="1" x14ac:dyDescent="0.25">
      <c r="A61" s="47"/>
      <c r="B61" s="47"/>
      <c r="C61" s="46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8" t="str">
        <f t="shared" si="0"/>
        <v/>
      </c>
      <c r="P61" s="47" t="str">
        <f t="shared" si="1"/>
        <v/>
      </c>
      <c r="Q61" s="47"/>
      <c r="R61" s="47"/>
      <c r="S61" s="47"/>
      <c r="T61" s="47"/>
    </row>
    <row r="62" spans="1:20" ht="15" customHeight="1" x14ac:dyDescent="0.25">
      <c r="A62" s="47"/>
      <c r="B62" s="47"/>
      <c r="C62" s="46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8" t="str">
        <f t="shared" si="0"/>
        <v/>
      </c>
      <c r="P62" s="47" t="str">
        <f t="shared" si="1"/>
        <v/>
      </c>
      <c r="Q62" s="47"/>
      <c r="R62" s="47"/>
      <c r="S62" s="47"/>
      <c r="T62" s="47"/>
    </row>
    <row r="63" spans="1:20" ht="15" customHeight="1" x14ac:dyDescent="0.25">
      <c r="A63" s="47"/>
      <c r="B63" s="47"/>
      <c r="C63" s="46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8" t="str">
        <f t="shared" si="0"/>
        <v/>
      </c>
      <c r="P63" s="47" t="str">
        <f t="shared" si="1"/>
        <v/>
      </c>
      <c r="Q63" s="47"/>
      <c r="R63" s="47"/>
      <c r="S63" s="47"/>
      <c r="T63" s="47"/>
    </row>
    <row r="64" spans="1:20" ht="15" customHeight="1" x14ac:dyDescent="0.25">
      <c r="A64" s="47"/>
      <c r="B64" s="47"/>
      <c r="C64" s="46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8" t="str">
        <f t="shared" si="0"/>
        <v/>
      </c>
      <c r="P64" s="47" t="str">
        <f t="shared" si="1"/>
        <v/>
      </c>
      <c r="Q64" s="47"/>
      <c r="R64" s="47"/>
      <c r="S64" s="47"/>
      <c r="T64" s="47"/>
    </row>
    <row r="65" spans="1:20" ht="15" customHeight="1" x14ac:dyDescent="0.25">
      <c r="A65" s="47"/>
      <c r="B65" s="47"/>
      <c r="C65" s="46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8" t="str">
        <f t="shared" si="0"/>
        <v/>
      </c>
      <c r="P65" s="47" t="str">
        <f t="shared" si="1"/>
        <v/>
      </c>
      <c r="Q65" s="47"/>
      <c r="R65" s="47"/>
      <c r="S65" s="47"/>
      <c r="T65" s="47"/>
    </row>
    <row r="66" spans="1:20" ht="15" customHeight="1" x14ac:dyDescent="0.25">
      <c r="A66" s="47"/>
      <c r="B66" s="47"/>
      <c r="C66" s="46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 t="str">
        <f t="shared" si="0"/>
        <v/>
      </c>
      <c r="P66" s="47" t="str">
        <f t="shared" si="1"/>
        <v/>
      </c>
      <c r="Q66" s="47"/>
      <c r="R66" s="47"/>
      <c r="S66" s="47"/>
      <c r="T66" s="47"/>
    </row>
    <row r="67" spans="1:20" ht="15" customHeight="1" x14ac:dyDescent="0.25">
      <c r="A67" s="47"/>
      <c r="B67" s="47"/>
      <c r="C67" s="46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8" t="str">
        <f t="shared" si="0"/>
        <v/>
      </c>
      <c r="P67" s="47" t="str">
        <f t="shared" si="1"/>
        <v/>
      </c>
      <c r="Q67" s="47"/>
      <c r="R67" s="47"/>
      <c r="S67" s="47"/>
      <c r="T67" s="47"/>
    </row>
    <row r="68" spans="1:20" ht="15" customHeight="1" x14ac:dyDescent="0.25">
      <c r="A68" s="47"/>
      <c r="B68" s="47"/>
      <c r="C68" s="46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8" t="str">
        <f t="shared" si="0"/>
        <v/>
      </c>
      <c r="P68" s="47" t="str">
        <f t="shared" si="1"/>
        <v/>
      </c>
      <c r="Q68" s="47"/>
      <c r="R68" s="47"/>
      <c r="S68" s="47"/>
      <c r="T68" s="47"/>
    </row>
    <row r="69" spans="1:20" ht="15" customHeight="1" x14ac:dyDescent="0.25">
      <c r="A69" s="47"/>
      <c r="B69" s="47"/>
      <c r="C69" s="46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8" t="str">
        <f t="shared" si="0"/>
        <v/>
      </c>
      <c r="P69" s="47" t="str">
        <f t="shared" si="1"/>
        <v/>
      </c>
      <c r="Q69" s="47"/>
      <c r="R69" s="47"/>
      <c r="S69" s="47"/>
      <c r="T69" s="47"/>
    </row>
    <row r="70" spans="1:20" ht="15" customHeight="1" x14ac:dyDescent="0.25">
      <c r="A70" s="47"/>
      <c r="B70" s="47"/>
      <c r="C70" s="46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8" t="str">
        <f t="shared" ref="O70:O133" si="2">IFERROR(N70/M70,"")</f>
        <v/>
      </c>
      <c r="P70" s="47" t="str">
        <f t="shared" ref="P70:P133" si="3">IF(O70="","",IF(O70&gt;=0.75,"Proficient",IF(O70&gt;=0.5,"Nearly Proficient",IF(O70&gt;=0.25,"Low Proficient","Not Proficient"))))</f>
        <v/>
      </c>
      <c r="Q70" s="47"/>
      <c r="R70" s="47"/>
      <c r="S70" s="47"/>
      <c r="T70" s="47"/>
    </row>
    <row r="71" spans="1:20" ht="15" customHeight="1" x14ac:dyDescent="0.25">
      <c r="A71" s="47"/>
      <c r="B71" s="47"/>
      <c r="C71" s="46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8" t="str">
        <f t="shared" si="2"/>
        <v/>
      </c>
      <c r="P71" s="47" t="str">
        <f t="shared" si="3"/>
        <v/>
      </c>
      <c r="Q71" s="47"/>
      <c r="R71" s="47"/>
      <c r="S71" s="47"/>
      <c r="T71" s="47"/>
    </row>
    <row r="72" spans="1:20" ht="15" customHeight="1" x14ac:dyDescent="0.25">
      <c r="A72" s="47"/>
      <c r="B72" s="47"/>
      <c r="C72" s="46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8" t="str">
        <f t="shared" si="2"/>
        <v/>
      </c>
      <c r="P72" s="47" t="str">
        <f t="shared" si="3"/>
        <v/>
      </c>
      <c r="Q72" s="47"/>
      <c r="R72" s="47"/>
      <c r="S72" s="47"/>
      <c r="T72" s="47"/>
    </row>
    <row r="73" spans="1:20" ht="15" customHeight="1" x14ac:dyDescent="0.25">
      <c r="A73" s="47"/>
      <c r="B73" s="47"/>
      <c r="C73" s="46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8" t="str">
        <f t="shared" si="2"/>
        <v/>
      </c>
      <c r="P73" s="47" t="str">
        <f t="shared" si="3"/>
        <v/>
      </c>
      <c r="Q73" s="47"/>
      <c r="R73" s="47"/>
      <c r="S73" s="47"/>
      <c r="T73" s="47"/>
    </row>
    <row r="74" spans="1:20" ht="15" customHeight="1" x14ac:dyDescent="0.25">
      <c r="A74" s="47"/>
      <c r="B74" s="47"/>
      <c r="C74" s="46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8" t="str">
        <f t="shared" si="2"/>
        <v/>
      </c>
      <c r="P74" s="47" t="str">
        <f t="shared" si="3"/>
        <v/>
      </c>
      <c r="Q74" s="47"/>
      <c r="R74" s="47"/>
      <c r="S74" s="47"/>
      <c r="T74" s="47"/>
    </row>
    <row r="75" spans="1:20" ht="15" customHeight="1" x14ac:dyDescent="0.25">
      <c r="A75" s="47"/>
      <c r="B75" s="47"/>
      <c r="C75" s="46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8" t="str">
        <f t="shared" si="2"/>
        <v/>
      </c>
      <c r="P75" s="47" t="str">
        <f t="shared" si="3"/>
        <v/>
      </c>
      <c r="Q75" s="47"/>
      <c r="R75" s="47"/>
      <c r="S75" s="47"/>
      <c r="T75" s="47"/>
    </row>
    <row r="76" spans="1:20" ht="15" customHeight="1" x14ac:dyDescent="0.25">
      <c r="A76" s="47"/>
      <c r="B76" s="47"/>
      <c r="C76" s="46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8" t="str">
        <f t="shared" si="2"/>
        <v/>
      </c>
      <c r="P76" s="47" t="str">
        <f t="shared" si="3"/>
        <v/>
      </c>
      <c r="Q76" s="47"/>
      <c r="R76" s="47"/>
      <c r="S76" s="47"/>
      <c r="T76" s="47"/>
    </row>
    <row r="77" spans="1:20" ht="15" customHeight="1" x14ac:dyDescent="0.25">
      <c r="A77" s="47"/>
      <c r="B77" s="47"/>
      <c r="C77" s="46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8" t="str">
        <f t="shared" si="2"/>
        <v/>
      </c>
      <c r="P77" s="47" t="str">
        <f t="shared" si="3"/>
        <v/>
      </c>
      <c r="Q77" s="47"/>
      <c r="R77" s="47"/>
      <c r="S77" s="47"/>
      <c r="T77" s="47"/>
    </row>
    <row r="78" spans="1:20" ht="15" customHeight="1" x14ac:dyDescent="0.25">
      <c r="A78" s="47"/>
      <c r="B78" s="47"/>
      <c r="C78" s="46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8" t="str">
        <f t="shared" si="2"/>
        <v/>
      </c>
      <c r="P78" s="47" t="str">
        <f t="shared" si="3"/>
        <v/>
      </c>
      <c r="Q78" s="47"/>
      <c r="R78" s="47"/>
      <c r="S78" s="47"/>
      <c r="T78" s="47"/>
    </row>
    <row r="79" spans="1:20" ht="15" customHeight="1" x14ac:dyDescent="0.25">
      <c r="A79" s="47"/>
      <c r="B79" s="47"/>
      <c r="C79" s="46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8" t="str">
        <f t="shared" si="2"/>
        <v/>
      </c>
      <c r="P79" s="47" t="str">
        <f t="shared" si="3"/>
        <v/>
      </c>
      <c r="Q79" s="47"/>
      <c r="R79" s="47"/>
      <c r="S79" s="47"/>
      <c r="T79" s="47"/>
    </row>
    <row r="80" spans="1:20" ht="15" customHeight="1" x14ac:dyDescent="0.25">
      <c r="A80" s="47"/>
      <c r="B80" s="47"/>
      <c r="C80" s="46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8" t="str">
        <f t="shared" si="2"/>
        <v/>
      </c>
      <c r="P80" s="47" t="str">
        <f t="shared" si="3"/>
        <v/>
      </c>
      <c r="Q80" s="47"/>
      <c r="R80" s="47"/>
      <c r="S80" s="47"/>
      <c r="T80" s="47"/>
    </row>
    <row r="81" spans="1:20" ht="15" customHeight="1" x14ac:dyDescent="0.25">
      <c r="A81" s="47"/>
      <c r="B81" s="47"/>
      <c r="C81" s="46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8" t="str">
        <f t="shared" si="2"/>
        <v/>
      </c>
      <c r="P81" s="47" t="str">
        <f t="shared" si="3"/>
        <v/>
      </c>
      <c r="Q81" s="47"/>
      <c r="R81" s="47"/>
      <c r="S81" s="47"/>
      <c r="T81" s="47"/>
    </row>
    <row r="82" spans="1:20" ht="15" customHeight="1" x14ac:dyDescent="0.25">
      <c r="A82" s="47"/>
      <c r="B82" s="47"/>
      <c r="C82" s="46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8" t="str">
        <f t="shared" si="2"/>
        <v/>
      </c>
      <c r="P82" s="47" t="str">
        <f t="shared" si="3"/>
        <v/>
      </c>
      <c r="Q82" s="47"/>
      <c r="R82" s="47"/>
      <c r="S82" s="47"/>
      <c r="T82" s="47"/>
    </row>
    <row r="83" spans="1:20" ht="15" customHeight="1" x14ac:dyDescent="0.25">
      <c r="A83" s="47"/>
      <c r="B83" s="47"/>
      <c r="C83" s="46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8" t="str">
        <f t="shared" si="2"/>
        <v/>
      </c>
      <c r="P83" s="47" t="str">
        <f t="shared" si="3"/>
        <v/>
      </c>
      <c r="Q83" s="47"/>
      <c r="R83" s="47"/>
      <c r="S83" s="47"/>
      <c r="T83" s="47"/>
    </row>
    <row r="84" spans="1:20" ht="15" customHeight="1" x14ac:dyDescent="0.25">
      <c r="A84" s="47"/>
      <c r="B84" s="47"/>
      <c r="C84" s="46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8" t="str">
        <f t="shared" si="2"/>
        <v/>
      </c>
      <c r="P84" s="47" t="str">
        <f t="shared" si="3"/>
        <v/>
      </c>
      <c r="Q84" s="47"/>
      <c r="R84" s="47"/>
      <c r="S84" s="47"/>
      <c r="T84" s="47"/>
    </row>
    <row r="85" spans="1:20" ht="15" customHeight="1" x14ac:dyDescent="0.25">
      <c r="A85" s="47"/>
      <c r="B85" s="47"/>
      <c r="C85" s="46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8" t="str">
        <f t="shared" si="2"/>
        <v/>
      </c>
      <c r="P85" s="47" t="str">
        <f t="shared" si="3"/>
        <v/>
      </c>
      <c r="Q85" s="47"/>
      <c r="R85" s="47"/>
      <c r="S85" s="47"/>
      <c r="T85" s="47"/>
    </row>
    <row r="86" spans="1:20" ht="15" customHeight="1" x14ac:dyDescent="0.25">
      <c r="A86" s="47"/>
      <c r="B86" s="47"/>
      <c r="C86" s="46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8" t="str">
        <f t="shared" si="2"/>
        <v/>
      </c>
      <c r="P86" s="47" t="str">
        <f t="shared" si="3"/>
        <v/>
      </c>
      <c r="Q86" s="47"/>
      <c r="R86" s="47"/>
      <c r="S86" s="47"/>
      <c r="T86" s="47"/>
    </row>
    <row r="87" spans="1:20" ht="15" customHeight="1" x14ac:dyDescent="0.25">
      <c r="A87" s="47"/>
      <c r="B87" s="47"/>
      <c r="C87" s="46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8" t="str">
        <f t="shared" si="2"/>
        <v/>
      </c>
      <c r="P87" s="47" t="str">
        <f t="shared" si="3"/>
        <v/>
      </c>
      <c r="Q87" s="47"/>
      <c r="R87" s="47"/>
      <c r="S87" s="47"/>
      <c r="T87" s="47"/>
    </row>
    <row r="88" spans="1:20" ht="15" customHeight="1" x14ac:dyDescent="0.25">
      <c r="A88" s="47"/>
      <c r="B88" s="47"/>
      <c r="C88" s="46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8" t="str">
        <f t="shared" si="2"/>
        <v/>
      </c>
      <c r="P88" s="47" t="str">
        <f t="shared" si="3"/>
        <v/>
      </c>
      <c r="Q88" s="47"/>
      <c r="R88" s="47"/>
      <c r="S88" s="47"/>
      <c r="T88" s="47"/>
    </row>
    <row r="89" spans="1:20" ht="15" customHeight="1" x14ac:dyDescent="0.25">
      <c r="A89" s="47"/>
      <c r="B89" s="47"/>
      <c r="C89" s="46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8" t="str">
        <f t="shared" si="2"/>
        <v/>
      </c>
      <c r="P89" s="47" t="str">
        <f t="shared" si="3"/>
        <v/>
      </c>
      <c r="Q89" s="47"/>
      <c r="R89" s="47"/>
      <c r="S89" s="47"/>
      <c r="T89" s="47"/>
    </row>
    <row r="90" spans="1:20" ht="15" customHeight="1" x14ac:dyDescent="0.25">
      <c r="A90" s="47"/>
      <c r="B90" s="47"/>
      <c r="C90" s="46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8" t="str">
        <f t="shared" si="2"/>
        <v/>
      </c>
      <c r="P90" s="47" t="str">
        <f t="shared" si="3"/>
        <v/>
      </c>
      <c r="Q90" s="47"/>
      <c r="R90" s="47"/>
      <c r="S90" s="47"/>
      <c r="T90" s="47"/>
    </row>
    <row r="91" spans="1:20" ht="15" customHeight="1" x14ac:dyDescent="0.25">
      <c r="A91" s="47"/>
      <c r="B91" s="47"/>
      <c r="C91" s="46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8" t="str">
        <f t="shared" si="2"/>
        <v/>
      </c>
      <c r="P91" s="47" t="str">
        <f t="shared" si="3"/>
        <v/>
      </c>
      <c r="Q91" s="47"/>
      <c r="R91" s="47"/>
      <c r="S91" s="47"/>
      <c r="T91" s="47"/>
    </row>
    <row r="92" spans="1:20" ht="15" customHeight="1" x14ac:dyDescent="0.25">
      <c r="A92" s="47"/>
      <c r="B92" s="47"/>
      <c r="C92" s="46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8" t="str">
        <f t="shared" si="2"/>
        <v/>
      </c>
      <c r="P92" s="47" t="str">
        <f t="shared" si="3"/>
        <v/>
      </c>
      <c r="Q92" s="47"/>
      <c r="R92" s="47"/>
      <c r="S92" s="47"/>
      <c r="T92" s="47"/>
    </row>
    <row r="93" spans="1:20" ht="15" customHeight="1" x14ac:dyDescent="0.25">
      <c r="A93" s="47"/>
      <c r="B93" s="47"/>
      <c r="C93" s="46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8" t="str">
        <f t="shared" si="2"/>
        <v/>
      </c>
      <c r="P93" s="47" t="str">
        <f t="shared" si="3"/>
        <v/>
      </c>
      <c r="Q93" s="47"/>
      <c r="R93" s="47"/>
      <c r="S93" s="47"/>
      <c r="T93" s="47"/>
    </row>
    <row r="94" spans="1:20" ht="15" customHeight="1" x14ac:dyDescent="0.25">
      <c r="A94" s="47"/>
      <c r="B94" s="47"/>
      <c r="C94" s="46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8" t="str">
        <f t="shared" si="2"/>
        <v/>
      </c>
      <c r="P94" s="47" t="str">
        <f t="shared" si="3"/>
        <v/>
      </c>
      <c r="Q94" s="47"/>
      <c r="R94" s="47"/>
      <c r="S94" s="47"/>
      <c r="T94" s="47"/>
    </row>
    <row r="95" spans="1:20" ht="15" customHeight="1" x14ac:dyDescent="0.25">
      <c r="A95" s="47"/>
      <c r="B95" s="47"/>
      <c r="C95" s="46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8" t="str">
        <f t="shared" si="2"/>
        <v/>
      </c>
      <c r="P95" s="47" t="str">
        <f t="shared" si="3"/>
        <v/>
      </c>
      <c r="Q95" s="47"/>
      <c r="R95" s="47"/>
      <c r="S95" s="47"/>
      <c r="T95" s="47"/>
    </row>
    <row r="96" spans="1:20" ht="15" customHeight="1" x14ac:dyDescent="0.25">
      <c r="A96" s="47"/>
      <c r="B96" s="47"/>
      <c r="C96" s="46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8" t="str">
        <f t="shared" si="2"/>
        <v/>
      </c>
      <c r="P96" s="47" t="str">
        <f t="shared" si="3"/>
        <v/>
      </c>
      <c r="Q96" s="47"/>
      <c r="R96" s="47"/>
      <c r="S96" s="47"/>
      <c r="T96" s="47"/>
    </row>
    <row r="97" spans="1:20" ht="15" customHeight="1" x14ac:dyDescent="0.25">
      <c r="A97" s="47"/>
      <c r="B97" s="47"/>
      <c r="C97" s="46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8" t="str">
        <f t="shared" si="2"/>
        <v/>
      </c>
      <c r="P97" s="47" t="str">
        <f t="shared" si="3"/>
        <v/>
      </c>
      <c r="Q97" s="47"/>
      <c r="R97" s="47"/>
      <c r="S97" s="47"/>
      <c r="T97" s="47"/>
    </row>
    <row r="98" spans="1:20" ht="15" customHeight="1" x14ac:dyDescent="0.25">
      <c r="A98" s="47"/>
      <c r="B98" s="47"/>
      <c r="C98" s="46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8" t="str">
        <f t="shared" si="2"/>
        <v/>
      </c>
      <c r="P98" s="47" t="str">
        <f t="shared" si="3"/>
        <v/>
      </c>
      <c r="Q98" s="47"/>
      <c r="R98" s="47"/>
      <c r="S98" s="47"/>
      <c r="T98" s="47"/>
    </row>
    <row r="99" spans="1:20" ht="15" customHeight="1" x14ac:dyDescent="0.25">
      <c r="A99" s="47"/>
      <c r="B99" s="47"/>
      <c r="C99" s="46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8" t="str">
        <f t="shared" si="2"/>
        <v/>
      </c>
      <c r="P99" s="47" t="str">
        <f t="shared" si="3"/>
        <v/>
      </c>
      <c r="Q99" s="47"/>
      <c r="R99" s="47"/>
      <c r="S99" s="47"/>
      <c r="T99" s="47"/>
    </row>
    <row r="100" spans="1:20" ht="15" customHeight="1" x14ac:dyDescent="0.25">
      <c r="A100" s="47"/>
      <c r="B100" s="47"/>
      <c r="C100" s="4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8" t="str">
        <f t="shared" si="2"/>
        <v/>
      </c>
      <c r="P100" s="47" t="str">
        <f t="shared" si="3"/>
        <v/>
      </c>
      <c r="Q100" s="47"/>
      <c r="R100" s="47"/>
      <c r="S100" s="47"/>
      <c r="T100" s="47"/>
    </row>
    <row r="101" spans="1:20" ht="15" customHeight="1" x14ac:dyDescent="0.25">
      <c r="A101" s="47"/>
      <c r="B101" s="47"/>
      <c r="C101" s="46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8" t="str">
        <f t="shared" si="2"/>
        <v/>
      </c>
      <c r="P101" s="47" t="str">
        <f t="shared" si="3"/>
        <v/>
      </c>
      <c r="Q101" s="47"/>
      <c r="R101" s="47"/>
      <c r="S101" s="47"/>
      <c r="T101" s="47"/>
    </row>
    <row r="102" spans="1:20" ht="15" customHeight="1" x14ac:dyDescent="0.25">
      <c r="A102" s="47"/>
      <c r="B102" s="47"/>
      <c r="C102" s="46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8" t="str">
        <f t="shared" si="2"/>
        <v/>
      </c>
      <c r="P102" s="47" t="str">
        <f t="shared" si="3"/>
        <v/>
      </c>
      <c r="Q102" s="47"/>
      <c r="R102" s="47"/>
      <c r="S102" s="47"/>
      <c r="T102" s="47"/>
    </row>
    <row r="103" spans="1:20" ht="15" customHeight="1" x14ac:dyDescent="0.25">
      <c r="A103" s="47"/>
      <c r="B103" s="47"/>
      <c r="C103" s="46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8" t="str">
        <f t="shared" si="2"/>
        <v/>
      </c>
      <c r="P103" s="47" t="str">
        <f t="shared" si="3"/>
        <v/>
      </c>
      <c r="Q103" s="47"/>
      <c r="R103" s="47"/>
      <c r="S103" s="47"/>
      <c r="T103" s="47"/>
    </row>
    <row r="104" spans="1:20" ht="15" customHeight="1" x14ac:dyDescent="0.25">
      <c r="A104" s="47"/>
      <c r="B104" s="47"/>
      <c r="C104" s="46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8" t="str">
        <f t="shared" si="2"/>
        <v/>
      </c>
      <c r="P104" s="47" t="str">
        <f t="shared" si="3"/>
        <v/>
      </c>
      <c r="Q104" s="47"/>
      <c r="R104" s="47"/>
      <c r="S104" s="47"/>
      <c r="T104" s="47"/>
    </row>
    <row r="105" spans="1:20" ht="15" customHeight="1" x14ac:dyDescent="0.25">
      <c r="A105" s="47"/>
      <c r="B105" s="47"/>
      <c r="C105" s="46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8" t="str">
        <f t="shared" si="2"/>
        <v/>
      </c>
      <c r="P105" s="47" t="str">
        <f t="shared" si="3"/>
        <v/>
      </c>
      <c r="Q105" s="47"/>
      <c r="R105" s="47"/>
      <c r="S105" s="47"/>
      <c r="T105" s="47"/>
    </row>
    <row r="106" spans="1:20" ht="15" customHeight="1" x14ac:dyDescent="0.25">
      <c r="A106" s="47"/>
      <c r="B106" s="47"/>
      <c r="C106" s="4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8" t="str">
        <f t="shared" si="2"/>
        <v/>
      </c>
      <c r="P106" s="47" t="str">
        <f t="shared" si="3"/>
        <v/>
      </c>
      <c r="Q106" s="47"/>
      <c r="R106" s="47"/>
      <c r="S106" s="47"/>
      <c r="T106" s="47"/>
    </row>
    <row r="107" spans="1:20" ht="15" customHeight="1" x14ac:dyDescent="0.25">
      <c r="A107" s="47"/>
      <c r="B107" s="47"/>
      <c r="C107" s="46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8" t="str">
        <f t="shared" si="2"/>
        <v/>
      </c>
      <c r="P107" s="47" t="str">
        <f t="shared" si="3"/>
        <v/>
      </c>
      <c r="Q107" s="47"/>
      <c r="R107" s="47"/>
      <c r="S107" s="47"/>
      <c r="T107" s="47"/>
    </row>
    <row r="108" spans="1:20" ht="15" customHeight="1" x14ac:dyDescent="0.25">
      <c r="A108" s="47"/>
      <c r="B108" s="47"/>
      <c r="C108" s="46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8" t="str">
        <f t="shared" si="2"/>
        <v/>
      </c>
      <c r="P108" s="47" t="str">
        <f t="shared" si="3"/>
        <v/>
      </c>
      <c r="Q108" s="47"/>
      <c r="R108" s="47"/>
      <c r="S108" s="47"/>
      <c r="T108" s="47"/>
    </row>
    <row r="109" spans="1:20" ht="15" customHeight="1" x14ac:dyDescent="0.25">
      <c r="A109" s="47"/>
      <c r="B109" s="47"/>
      <c r="C109" s="46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8" t="str">
        <f t="shared" si="2"/>
        <v/>
      </c>
      <c r="P109" s="47" t="str">
        <f t="shared" si="3"/>
        <v/>
      </c>
      <c r="Q109" s="47"/>
      <c r="R109" s="47"/>
      <c r="S109" s="47"/>
      <c r="T109" s="47"/>
    </row>
    <row r="110" spans="1:20" ht="15" customHeight="1" x14ac:dyDescent="0.25">
      <c r="A110" s="47"/>
      <c r="B110" s="47"/>
      <c r="C110" s="46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8" t="str">
        <f t="shared" si="2"/>
        <v/>
      </c>
      <c r="P110" s="47" t="str">
        <f t="shared" si="3"/>
        <v/>
      </c>
      <c r="Q110" s="47"/>
      <c r="R110" s="47"/>
      <c r="S110" s="47"/>
      <c r="T110" s="47"/>
    </row>
    <row r="111" spans="1:20" ht="15" customHeight="1" x14ac:dyDescent="0.25">
      <c r="A111" s="47"/>
      <c r="B111" s="47"/>
      <c r="C111" s="46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8" t="str">
        <f t="shared" si="2"/>
        <v/>
      </c>
      <c r="P111" s="47" t="str">
        <f t="shared" si="3"/>
        <v/>
      </c>
      <c r="Q111" s="47"/>
      <c r="R111" s="47"/>
      <c r="S111" s="47"/>
      <c r="T111" s="47"/>
    </row>
    <row r="112" spans="1:20" ht="15" customHeight="1" x14ac:dyDescent="0.25">
      <c r="A112" s="47"/>
      <c r="B112" s="47"/>
      <c r="C112" s="46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8" t="str">
        <f t="shared" si="2"/>
        <v/>
      </c>
      <c r="P112" s="47" t="str">
        <f t="shared" si="3"/>
        <v/>
      </c>
      <c r="Q112" s="47"/>
      <c r="R112" s="47"/>
      <c r="S112" s="47"/>
      <c r="T112" s="47"/>
    </row>
    <row r="113" spans="1:20" ht="15" customHeight="1" x14ac:dyDescent="0.25">
      <c r="A113" s="47"/>
      <c r="B113" s="47"/>
      <c r="C113" s="46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8" t="str">
        <f t="shared" si="2"/>
        <v/>
      </c>
      <c r="P113" s="47" t="str">
        <f t="shared" si="3"/>
        <v/>
      </c>
      <c r="Q113" s="47"/>
      <c r="R113" s="47"/>
      <c r="S113" s="47"/>
      <c r="T113" s="47"/>
    </row>
    <row r="114" spans="1:20" ht="15" customHeight="1" x14ac:dyDescent="0.25">
      <c r="A114" s="47"/>
      <c r="B114" s="47"/>
      <c r="C114" s="46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8" t="str">
        <f t="shared" si="2"/>
        <v/>
      </c>
      <c r="P114" s="47" t="str">
        <f t="shared" si="3"/>
        <v/>
      </c>
      <c r="Q114" s="47"/>
      <c r="R114" s="47"/>
      <c r="S114" s="47"/>
      <c r="T114" s="47"/>
    </row>
    <row r="115" spans="1:20" ht="15" customHeight="1" x14ac:dyDescent="0.25">
      <c r="A115" s="47"/>
      <c r="B115" s="47"/>
      <c r="C115" s="46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8" t="str">
        <f t="shared" si="2"/>
        <v/>
      </c>
      <c r="P115" s="47" t="str">
        <f t="shared" si="3"/>
        <v/>
      </c>
      <c r="Q115" s="47"/>
      <c r="R115" s="47"/>
      <c r="S115" s="47"/>
      <c r="T115" s="47"/>
    </row>
    <row r="116" spans="1:20" ht="15" customHeight="1" x14ac:dyDescent="0.25">
      <c r="A116" s="47"/>
      <c r="B116" s="47"/>
      <c r="C116" s="46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8" t="str">
        <f t="shared" si="2"/>
        <v/>
      </c>
      <c r="P116" s="47" t="str">
        <f t="shared" si="3"/>
        <v/>
      </c>
      <c r="Q116" s="47"/>
      <c r="R116" s="47"/>
      <c r="S116" s="47"/>
      <c r="T116" s="47"/>
    </row>
    <row r="117" spans="1:20" ht="15" customHeight="1" x14ac:dyDescent="0.25">
      <c r="A117" s="47"/>
      <c r="B117" s="47"/>
      <c r="C117" s="46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8" t="str">
        <f t="shared" si="2"/>
        <v/>
      </c>
      <c r="P117" s="47" t="str">
        <f t="shared" si="3"/>
        <v/>
      </c>
      <c r="Q117" s="47"/>
      <c r="R117" s="47"/>
      <c r="S117" s="47"/>
      <c r="T117" s="47"/>
    </row>
    <row r="118" spans="1:20" ht="15" customHeight="1" x14ac:dyDescent="0.25">
      <c r="A118" s="47"/>
      <c r="B118" s="47"/>
      <c r="C118" s="46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8" t="str">
        <f t="shared" si="2"/>
        <v/>
      </c>
      <c r="P118" s="47" t="str">
        <f t="shared" si="3"/>
        <v/>
      </c>
      <c r="Q118" s="47"/>
      <c r="R118" s="47"/>
      <c r="S118" s="47"/>
      <c r="T118" s="47"/>
    </row>
    <row r="119" spans="1:20" ht="15" customHeight="1" x14ac:dyDescent="0.25">
      <c r="A119" s="47"/>
      <c r="B119" s="47"/>
      <c r="C119" s="46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8" t="str">
        <f t="shared" si="2"/>
        <v/>
      </c>
      <c r="P119" s="47" t="str">
        <f t="shared" si="3"/>
        <v/>
      </c>
      <c r="Q119" s="47"/>
      <c r="R119" s="47"/>
      <c r="S119" s="47"/>
      <c r="T119" s="47"/>
    </row>
    <row r="120" spans="1:20" ht="15" customHeight="1" x14ac:dyDescent="0.25">
      <c r="A120" s="47"/>
      <c r="B120" s="47"/>
      <c r="C120" s="46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8" t="str">
        <f t="shared" si="2"/>
        <v/>
      </c>
      <c r="P120" s="47" t="str">
        <f t="shared" si="3"/>
        <v/>
      </c>
      <c r="Q120" s="47"/>
      <c r="R120" s="47"/>
      <c r="S120" s="47"/>
      <c r="T120" s="47"/>
    </row>
    <row r="121" spans="1:20" ht="15" customHeight="1" x14ac:dyDescent="0.25">
      <c r="A121" s="47"/>
      <c r="B121" s="47"/>
      <c r="C121" s="46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8" t="str">
        <f t="shared" si="2"/>
        <v/>
      </c>
      <c r="P121" s="47" t="str">
        <f t="shared" si="3"/>
        <v/>
      </c>
      <c r="Q121" s="47"/>
      <c r="R121" s="47"/>
      <c r="S121" s="47"/>
      <c r="T121" s="47"/>
    </row>
    <row r="122" spans="1:20" ht="15" customHeight="1" x14ac:dyDescent="0.25">
      <c r="A122" s="47"/>
      <c r="B122" s="47"/>
      <c r="C122" s="46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8" t="str">
        <f t="shared" si="2"/>
        <v/>
      </c>
      <c r="P122" s="47" t="str">
        <f t="shared" si="3"/>
        <v/>
      </c>
      <c r="Q122" s="47"/>
      <c r="R122" s="47"/>
      <c r="S122" s="47"/>
      <c r="T122" s="47"/>
    </row>
    <row r="123" spans="1:20" ht="15" customHeight="1" x14ac:dyDescent="0.25">
      <c r="A123" s="47"/>
      <c r="B123" s="47"/>
      <c r="C123" s="46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8" t="str">
        <f t="shared" si="2"/>
        <v/>
      </c>
      <c r="P123" s="47" t="str">
        <f t="shared" si="3"/>
        <v/>
      </c>
      <c r="Q123" s="47"/>
      <c r="R123" s="47"/>
      <c r="S123" s="47"/>
      <c r="T123" s="47"/>
    </row>
    <row r="124" spans="1:20" ht="15" customHeight="1" x14ac:dyDescent="0.25">
      <c r="A124" s="47"/>
      <c r="B124" s="47"/>
      <c r="C124" s="46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8" t="str">
        <f t="shared" si="2"/>
        <v/>
      </c>
      <c r="P124" s="47" t="str">
        <f t="shared" si="3"/>
        <v/>
      </c>
      <c r="Q124" s="47"/>
      <c r="R124" s="47"/>
      <c r="S124" s="47"/>
      <c r="T124" s="47"/>
    </row>
    <row r="125" spans="1:20" ht="15" customHeight="1" x14ac:dyDescent="0.25">
      <c r="A125" s="47"/>
      <c r="B125" s="47"/>
      <c r="C125" s="46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8" t="str">
        <f t="shared" si="2"/>
        <v/>
      </c>
      <c r="P125" s="47" t="str">
        <f t="shared" si="3"/>
        <v/>
      </c>
      <c r="Q125" s="47"/>
      <c r="R125" s="47"/>
      <c r="S125" s="47"/>
      <c r="T125" s="47"/>
    </row>
    <row r="126" spans="1:20" ht="15" customHeight="1" x14ac:dyDescent="0.25">
      <c r="A126" s="47"/>
      <c r="B126" s="47"/>
      <c r="C126" s="46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8" t="str">
        <f t="shared" si="2"/>
        <v/>
      </c>
      <c r="P126" s="47" t="str">
        <f t="shared" si="3"/>
        <v/>
      </c>
      <c r="Q126" s="47"/>
      <c r="R126" s="47"/>
      <c r="S126" s="47"/>
      <c r="T126" s="47"/>
    </row>
    <row r="127" spans="1:20" ht="15" customHeight="1" x14ac:dyDescent="0.25">
      <c r="A127" s="47"/>
      <c r="B127" s="47"/>
      <c r="C127" s="46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8" t="str">
        <f t="shared" si="2"/>
        <v/>
      </c>
      <c r="P127" s="47" t="str">
        <f t="shared" si="3"/>
        <v/>
      </c>
      <c r="Q127" s="47"/>
      <c r="R127" s="47"/>
      <c r="S127" s="47"/>
      <c r="T127" s="47"/>
    </row>
    <row r="128" spans="1:20" ht="15" customHeight="1" x14ac:dyDescent="0.25">
      <c r="A128" s="47"/>
      <c r="B128" s="47"/>
      <c r="C128" s="46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8" t="str">
        <f t="shared" si="2"/>
        <v/>
      </c>
      <c r="P128" s="47" t="str">
        <f t="shared" si="3"/>
        <v/>
      </c>
      <c r="Q128" s="47"/>
      <c r="R128" s="47"/>
      <c r="S128" s="47"/>
      <c r="T128" s="47"/>
    </row>
    <row r="129" spans="1:20" ht="15" customHeight="1" x14ac:dyDescent="0.25">
      <c r="A129" s="47"/>
      <c r="B129" s="47"/>
      <c r="C129" s="46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8" t="str">
        <f t="shared" si="2"/>
        <v/>
      </c>
      <c r="P129" s="47" t="str">
        <f t="shared" si="3"/>
        <v/>
      </c>
      <c r="Q129" s="47"/>
      <c r="R129" s="47"/>
      <c r="S129" s="47"/>
      <c r="T129" s="47"/>
    </row>
    <row r="130" spans="1:20" ht="15" customHeight="1" x14ac:dyDescent="0.25">
      <c r="A130" s="47"/>
      <c r="B130" s="47"/>
      <c r="C130" s="46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8" t="str">
        <f t="shared" si="2"/>
        <v/>
      </c>
      <c r="P130" s="47" t="str">
        <f t="shared" si="3"/>
        <v/>
      </c>
      <c r="Q130" s="47"/>
      <c r="R130" s="47"/>
      <c r="S130" s="47"/>
      <c r="T130" s="47"/>
    </row>
    <row r="131" spans="1:20" ht="15" customHeight="1" x14ac:dyDescent="0.25">
      <c r="A131" s="47"/>
      <c r="B131" s="47"/>
      <c r="C131" s="46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8" t="str">
        <f t="shared" si="2"/>
        <v/>
      </c>
      <c r="P131" s="47" t="str">
        <f t="shared" si="3"/>
        <v/>
      </c>
      <c r="Q131" s="47"/>
      <c r="R131" s="47"/>
      <c r="S131" s="47"/>
      <c r="T131" s="47"/>
    </row>
    <row r="132" spans="1:20" ht="15" customHeight="1" x14ac:dyDescent="0.25">
      <c r="A132" s="47"/>
      <c r="B132" s="47"/>
      <c r="C132" s="46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8" t="str">
        <f t="shared" si="2"/>
        <v/>
      </c>
      <c r="P132" s="47" t="str">
        <f t="shared" si="3"/>
        <v/>
      </c>
      <c r="Q132" s="47"/>
      <c r="R132" s="47"/>
      <c r="S132" s="47"/>
      <c r="T132" s="47"/>
    </row>
    <row r="133" spans="1:20" ht="15" customHeight="1" x14ac:dyDescent="0.25">
      <c r="A133" s="47"/>
      <c r="B133" s="47"/>
      <c r="C133" s="46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8" t="str">
        <f t="shared" si="2"/>
        <v/>
      </c>
      <c r="P133" s="47" t="str">
        <f t="shared" si="3"/>
        <v/>
      </c>
      <c r="Q133" s="47"/>
      <c r="R133" s="47"/>
      <c r="S133" s="47"/>
      <c r="T133" s="47"/>
    </row>
    <row r="134" spans="1:20" ht="15" customHeight="1" x14ac:dyDescent="0.25">
      <c r="A134" s="47"/>
      <c r="B134" s="47"/>
      <c r="C134" s="46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8" t="str">
        <f t="shared" ref="O134:O197" si="4">IFERROR(N134/M134,"")</f>
        <v/>
      </c>
      <c r="P134" s="47" t="str">
        <f t="shared" ref="P134:P197" si="5">IF(O134="","",IF(O134&gt;=0.75,"Proficient",IF(O134&gt;=0.5,"Nearly Proficient",IF(O134&gt;=0.25,"Low Proficient","Not Proficient"))))</f>
        <v/>
      </c>
      <c r="Q134" s="47"/>
      <c r="R134" s="47"/>
      <c r="S134" s="47"/>
      <c r="T134" s="47"/>
    </row>
    <row r="135" spans="1:20" ht="15" customHeight="1" x14ac:dyDescent="0.25">
      <c r="A135" s="47"/>
      <c r="B135" s="47"/>
      <c r="C135" s="46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8" t="str">
        <f t="shared" si="4"/>
        <v/>
      </c>
      <c r="P135" s="47" t="str">
        <f t="shared" si="5"/>
        <v/>
      </c>
      <c r="Q135" s="47"/>
      <c r="R135" s="47"/>
      <c r="S135" s="47"/>
      <c r="T135" s="47"/>
    </row>
    <row r="136" spans="1:20" ht="15" customHeight="1" x14ac:dyDescent="0.25">
      <c r="A136" s="47"/>
      <c r="B136" s="47"/>
      <c r="C136" s="4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8" t="str">
        <f t="shared" si="4"/>
        <v/>
      </c>
      <c r="P136" s="47" t="str">
        <f t="shared" si="5"/>
        <v/>
      </c>
      <c r="Q136" s="47"/>
      <c r="R136" s="47"/>
      <c r="S136" s="47"/>
      <c r="T136" s="47"/>
    </row>
    <row r="137" spans="1:20" ht="15" customHeight="1" x14ac:dyDescent="0.25">
      <c r="A137" s="47"/>
      <c r="B137" s="47"/>
      <c r="C137" s="46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8" t="str">
        <f t="shared" si="4"/>
        <v/>
      </c>
      <c r="P137" s="47" t="str">
        <f t="shared" si="5"/>
        <v/>
      </c>
      <c r="Q137" s="47"/>
      <c r="R137" s="47"/>
      <c r="S137" s="47"/>
      <c r="T137" s="47"/>
    </row>
    <row r="138" spans="1:20" ht="15" customHeight="1" x14ac:dyDescent="0.25">
      <c r="A138" s="47"/>
      <c r="B138" s="47"/>
      <c r="C138" s="46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8" t="str">
        <f t="shared" si="4"/>
        <v/>
      </c>
      <c r="P138" s="47" t="str">
        <f t="shared" si="5"/>
        <v/>
      </c>
      <c r="Q138" s="47"/>
      <c r="R138" s="47"/>
      <c r="S138" s="47"/>
      <c r="T138" s="47"/>
    </row>
    <row r="139" spans="1:20" ht="15" customHeight="1" x14ac:dyDescent="0.25">
      <c r="A139" s="47"/>
      <c r="B139" s="47"/>
      <c r="C139" s="46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8" t="str">
        <f t="shared" si="4"/>
        <v/>
      </c>
      <c r="P139" s="47" t="str">
        <f t="shared" si="5"/>
        <v/>
      </c>
      <c r="Q139" s="47"/>
      <c r="R139" s="47"/>
      <c r="S139" s="47"/>
      <c r="T139" s="47"/>
    </row>
    <row r="140" spans="1:20" ht="15" customHeight="1" x14ac:dyDescent="0.25">
      <c r="A140" s="47"/>
      <c r="B140" s="47"/>
      <c r="C140" s="46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8" t="str">
        <f t="shared" si="4"/>
        <v/>
      </c>
      <c r="P140" s="47" t="str">
        <f t="shared" si="5"/>
        <v/>
      </c>
      <c r="Q140" s="47"/>
      <c r="R140" s="47"/>
      <c r="S140" s="47"/>
      <c r="T140" s="47"/>
    </row>
    <row r="141" spans="1:20" ht="15" customHeight="1" x14ac:dyDescent="0.25">
      <c r="A141" s="47"/>
      <c r="B141" s="47"/>
      <c r="C141" s="46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8" t="str">
        <f t="shared" si="4"/>
        <v/>
      </c>
      <c r="P141" s="47" t="str">
        <f t="shared" si="5"/>
        <v/>
      </c>
      <c r="Q141" s="47"/>
      <c r="R141" s="47"/>
      <c r="S141" s="47"/>
      <c r="T141" s="47"/>
    </row>
    <row r="142" spans="1:20" ht="15" customHeight="1" x14ac:dyDescent="0.25">
      <c r="A142" s="47"/>
      <c r="B142" s="47"/>
      <c r="C142" s="46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8" t="str">
        <f t="shared" si="4"/>
        <v/>
      </c>
      <c r="P142" s="47" t="str">
        <f t="shared" si="5"/>
        <v/>
      </c>
      <c r="Q142" s="47"/>
      <c r="R142" s="47"/>
      <c r="S142" s="47"/>
      <c r="T142" s="47"/>
    </row>
    <row r="143" spans="1:20" ht="15" customHeight="1" x14ac:dyDescent="0.25">
      <c r="A143" s="47"/>
      <c r="B143" s="47"/>
      <c r="C143" s="46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8" t="str">
        <f t="shared" si="4"/>
        <v/>
      </c>
      <c r="P143" s="47" t="str">
        <f t="shared" si="5"/>
        <v/>
      </c>
      <c r="Q143" s="47"/>
      <c r="R143" s="47"/>
      <c r="S143" s="47"/>
      <c r="T143" s="47"/>
    </row>
    <row r="144" spans="1:20" ht="15" customHeight="1" x14ac:dyDescent="0.25">
      <c r="A144" s="47"/>
      <c r="B144" s="47"/>
      <c r="C144" s="46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8" t="str">
        <f t="shared" si="4"/>
        <v/>
      </c>
      <c r="P144" s="47" t="str">
        <f t="shared" si="5"/>
        <v/>
      </c>
      <c r="Q144" s="47"/>
      <c r="R144" s="47"/>
      <c r="S144" s="47"/>
      <c r="T144" s="47"/>
    </row>
    <row r="145" spans="1:20" ht="15" customHeight="1" x14ac:dyDescent="0.25">
      <c r="A145" s="47"/>
      <c r="B145" s="47"/>
      <c r="C145" s="46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8" t="str">
        <f t="shared" si="4"/>
        <v/>
      </c>
      <c r="P145" s="47" t="str">
        <f t="shared" si="5"/>
        <v/>
      </c>
      <c r="Q145" s="47"/>
      <c r="R145" s="47"/>
      <c r="S145" s="47"/>
      <c r="T145" s="47"/>
    </row>
    <row r="146" spans="1:20" ht="15" customHeight="1" x14ac:dyDescent="0.25">
      <c r="A146" s="47"/>
      <c r="B146" s="47"/>
      <c r="C146" s="46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8" t="str">
        <f t="shared" si="4"/>
        <v/>
      </c>
      <c r="P146" s="47" t="str">
        <f t="shared" si="5"/>
        <v/>
      </c>
      <c r="Q146" s="47"/>
      <c r="R146" s="47"/>
      <c r="S146" s="47"/>
      <c r="T146" s="47"/>
    </row>
    <row r="147" spans="1:20" ht="15" customHeight="1" x14ac:dyDescent="0.25">
      <c r="A147" s="47"/>
      <c r="B147" s="47"/>
      <c r="C147" s="46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8" t="str">
        <f t="shared" si="4"/>
        <v/>
      </c>
      <c r="P147" s="47" t="str">
        <f t="shared" si="5"/>
        <v/>
      </c>
      <c r="Q147" s="47"/>
      <c r="R147" s="47"/>
      <c r="S147" s="47"/>
      <c r="T147" s="47"/>
    </row>
    <row r="148" spans="1:20" ht="15" customHeight="1" x14ac:dyDescent="0.25">
      <c r="A148" s="47"/>
      <c r="B148" s="47"/>
      <c r="C148" s="46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8" t="str">
        <f t="shared" si="4"/>
        <v/>
      </c>
      <c r="P148" s="47" t="str">
        <f t="shared" si="5"/>
        <v/>
      </c>
      <c r="Q148" s="47"/>
      <c r="R148" s="47"/>
      <c r="S148" s="47"/>
      <c r="T148" s="47"/>
    </row>
    <row r="149" spans="1:20" ht="15" customHeight="1" x14ac:dyDescent="0.25">
      <c r="A149" s="47"/>
      <c r="B149" s="47"/>
      <c r="C149" s="46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8" t="str">
        <f t="shared" si="4"/>
        <v/>
      </c>
      <c r="P149" s="47" t="str">
        <f t="shared" si="5"/>
        <v/>
      </c>
      <c r="Q149" s="47"/>
      <c r="R149" s="47"/>
      <c r="S149" s="47"/>
      <c r="T149" s="47"/>
    </row>
    <row r="150" spans="1:20" ht="15" customHeight="1" x14ac:dyDescent="0.25">
      <c r="A150" s="47"/>
      <c r="B150" s="47"/>
      <c r="C150" s="46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8" t="str">
        <f t="shared" si="4"/>
        <v/>
      </c>
      <c r="P150" s="47" t="str">
        <f t="shared" si="5"/>
        <v/>
      </c>
      <c r="Q150" s="47"/>
      <c r="R150" s="47"/>
      <c r="S150" s="47"/>
      <c r="T150" s="47"/>
    </row>
    <row r="151" spans="1:20" ht="15" customHeight="1" x14ac:dyDescent="0.25">
      <c r="A151" s="47"/>
      <c r="B151" s="47"/>
      <c r="C151" s="46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8" t="str">
        <f t="shared" si="4"/>
        <v/>
      </c>
      <c r="P151" s="47" t="str">
        <f t="shared" si="5"/>
        <v/>
      </c>
      <c r="Q151" s="47"/>
      <c r="R151" s="47"/>
      <c r="S151" s="47"/>
      <c r="T151" s="47"/>
    </row>
    <row r="152" spans="1:20" ht="15" customHeight="1" x14ac:dyDescent="0.25">
      <c r="A152" s="47"/>
      <c r="B152" s="47"/>
      <c r="C152" s="4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8" t="str">
        <f t="shared" si="4"/>
        <v/>
      </c>
      <c r="P152" s="47" t="str">
        <f t="shared" si="5"/>
        <v/>
      </c>
      <c r="Q152" s="47"/>
      <c r="R152" s="47"/>
      <c r="S152" s="47"/>
      <c r="T152" s="47"/>
    </row>
    <row r="153" spans="1:20" ht="15" customHeight="1" x14ac:dyDescent="0.25">
      <c r="A153" s="47"/>
      <c r="B153" s="47"/>
      <c r="C153" s="46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8" t="str">
        <f t="shared" si="4"/>
        <v/>
      </c>
      <c r="P153" s="47" t="str">
        <f t="shared" si="5"/>
        <v/>
      </c>
      <c r="Q153" s="47"/>
      <c r="R153" s="47"/>
      <c r="S153" s="47"/>
      <c r="T153" s="47"/>
    </row>
    <row r="154" spans="1:20" ht="15" customHeight="1" x14ac:dyDescent="0.25">
      <c r="A154" s="47"/>
      <c r="B154" s="47"/>
      <c r="C154" s="46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8" t="str">
        <f t="shared" si="4"/>
        <v/>
      </c>
      <c r="P154" s="47" t="str">
        <f t="shared" si="5"/>
        <v/>
      </c>
      <c r="Q154" s="47"/>
      <c r="R154" s="47"/>
      <c r="S154" s="47"/>
      <c r="T154" s="47"/>
    </row>
    <row r="155" spans="1:20" ht="15" customHeight="1" x14ac:dyDescent="0.25">
      <c r="A155" s="47"/>
      <c r="B155" s="47"/>
      <c r="C155" s="46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8" t="str">
        <f t="shared" si="4"/>
        <v/>
      </c>
      <c r="P155" s="47" t="str">
        <f t="shared" si="5"/>
        <v/>
      </c>
      <c r="Q155" s="47"/>
      <c r="R155" s="47"/>
      <c r="S155" s="47"/>
      <c r="T155" s="47"/>
    </row>
    <row r="156" spans="1:20" ht="15" customHeight="1" x14ac:dyDescent="0.25">
      <c r="A156" s="47"/>
      <c r="B156" s="47"/>
      <c r="C156" s="4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8" t="str">
        <f t="shared" si="4"/>
        <v/>
      </c>
      <c r="P156" s="47" t="str">
        <f t="shared" si="5"/>
        <v/>
      </c>
      <c r="Q156" s="47"/>
      <c r="R156" s="47"/>
      <c r="S156" s="47"/>
      <c r="T156" s="47"/>
    </row>
    <row r="157" spans="1:20" ht="15" customHeight="1" x14ac:dyDescent="0.25">
      <c r="A157" s="47"/>
      <c r="B157" s="47"/>
      <c r="C157" s="46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8" t="str">
        <f t="shared" si="4"/>
        <v/>
      </c>
      <c r="P157" s="47" t="str">
        <f t="shared" si="5"/>
        <v/>
      </c>
      <c r="Q157" s="47"/>
      <c r="R157" s="47"/>
      <c r="S157" s="47"/>
      <c r="T157" s="47"/>
    </row>
    <row r="158" spans="1:20" ht="15" customHeight="1" x14ac:dyDescent="0.25">
      <c r="A158" s="47"/>
      <c r="B158" s="47"/>
      <c r="C158" s="46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8" t="str">
        <f t="shared" si="4"/>
        <v/>
      </c>
      <c r="P158" s="47" t="str">
        <f t="shared" si="5"/>
        <v/>
      </c>
      <c r="Q158" s="47"/>
      <c r="R158" s="47"/>
      <c r="S158" s="47"/>
      <c r="T158" s="47"/>
    </row>
    <row r="159" spans="1:20" ht="15" customHeight="1" x14ac:dyDescent="0.25">
      <c r="A159" s="47"/>
      <c r="B159" s="47"/>
      <c r="C159" s="46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8" t="str">
        <f t="shared" si="4"/>
        <v/>
      </c>
      <c r="P159" s="47" t="str">
        <f t="shared" si="5"/>
        <v/>
      </c>
      <c r="Q159" s="47"/>
      <c r="R159" s="47"/>
      <c r="S159" s="47"/>
      <c r="T159" s="47"/>
    </row>
    <row r="160" spans="1:20" ht="15" customHeight="1" x14ac:dyDescent="0.25">
      <c r="A160" s="47"/>
      <c r="B160" s="47"/>
      <c r="C160" s="46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8" t="str">
        <f t="shared" si="4"/>
        <v/>
      </c>
      <c r="P160" s="47" t="str">
        <f t="shared" si="5"/>
        <v/>
      </c>
      <c r="Q160" s="47"/>
      <c r="R160" s="47"/>
      <c r="S160" s="47"/>
      <c r="T160" s="47"/>
    </row>
    <row r="161" spans="1:20" ht="15" customHeight="1" x14ac:dyDescent="0.25">
      <c r="A161" s="47"/>
      <c r="B161" s="47"/>
      <c r="C161" s="46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8" t="str">
        <f t="shared" si="4"/>
        <v/>
      </c>
      <c r="P161" s="47" t="str">
        <f t="shared" si="5"/>
        <v/>
      </c>
      <c r="Q161" s="47"/>
      <c r="R161" s="47"/>
      <c r="S161" s="47"/>
      <c r="T161" s="47"/>
    </row>
    <row r="162" spans="1:20" ht="15" customHeight="1" x14ac:dyDescent="0.25">
      <c r="A162" s="47"/>
      <c r="B162" s="47"/>
      <c r="C162" s="46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8" t="str">
        <f t="shared" si="4"/>
        <v/>
      </c>
      <c r="P162" s="47" t="str">
        <f t="shared" si="5"/>
        <v/>
      </c>
      <c r="Q162" s="47"/>
      <c r="R162" s="47"/>
      <c r="S162" s="47"/>
      <c r="T162" s="47"/>
    </row>
    <row r="163" spans="1:20" ht="15" customHeight="1" x14ac:dyDescent="0.25">
      <c r="A163" s="47"/>
      <c r="B163" s="47"/>
      <c r="C163" s="46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8" t="str">
        <f t="shared" si="4"/>
        <v/>
      </c>
      <c r="P163" s="47" t="str">
        <f t="shared" si="5"/>
        <v/>
      </c>
      <c r="Q163" s="47"/>
      <c r="R163" s="47"/>
      <c r="S163" s="47"/>
      <c r="T163" s="47"/>
    </row>
    <row r="164" spans="1:20" ht="15" customHeight="1" x14ac:dyDescent="0.25">
      <c r="A164" s="47"/>
      <c r="B164" s="47"/>
      <c r="C164" s="4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8" t="str">
        <f t="shared" si="4"/>
        <v/>
      </c>
      <c r="P164" s="47" t="str">
        <f t="shared" si="5"/>
        <v/>
      </c>
      <c r="Q164" s="47"/>
      <c r="R164" s="47"/>
      <c r="S164" s="47"/>
      <c r="T164" s="47"/>
    </row>
    <row r="165" spans="1:20" ht="15" customHeight="1" x14ac:dyDescent="0.25">
      <c r="A165" s="47"/>
      <c r="B165" s="47"/>
      <c r="C165" s="46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8" t="str">
        <f t="shared" si="4"/>
        <v/>
      </c>
      <c r="P165" s="47" t="str">
        <f t="shared" si="5"/>
        <v/>
      </c>
      <c r="Q165" s="47"/>
      <c r="R165" s="47"/>
      <c r="S165" s="47"/>
      <c r="T165" s="47"/>
    </row>
    <row r="166" spans="1:20" ht="15" customHeight="1" x14ac:dyDescent="0.25">
      <c r="A166" s="47"/>
      <c r="B166" s="47"/>
      <c r="C166" s="46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8" t="str">
        <f t="shared" si="4"/>
        <v/>
      </c>
      <c r="P166" s="47" t="str">
        <f t="shared" si="5"/>
        <v/>
      </c>
      <c r="Q166" s="47"/>
      <c r="R166" s="47"/>
      <c r="S166" s="47"/>
      <c r="T166" s="47"/>
    </row>
    <row r="167" spans="1:20" ht="15" customHeight="1" x14ac:dyDescent="0.25">
      <c r="A167" s="47"/>
      <c r="B167" s="47"/>
      <c r="C167" s="46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8" t="str">
        <f t="shared" si="4"/>
        <v/>
      </c>
      <c r="P167" s="47" t="str">
        <f t="shared" si="5"/>
        <v/>
      </c>
      <c r="Q167" s="47"/>
      <c r="R167" s="47"/>
      <c r="S167" s="47"/>
      <c r="T167" s="47"/>
    </row>
    <row r="168" spans="1:20" ht="15" customHeight="1" x14ac:dyDescent="0.25">
      <c r="A168" s="47"/>
      <c r="B168" s="47"/>
      <c r="C168" s="4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8" t="str">
        <f t="shared" si="4"/>
        <v/>
      </c>
      <c r="P168" s="47" t="str">
        <f t="shared" si="5"/>
        <v/>
      </c>
      <c r="Q168" s="47"/>
      <c r="R168" s="47"/>
      <c r="S168" s="47"/>
      <c r="T168" s="47"/>
    </row>
    <row r="169" spans="1:20" ht="15" customHeight="1" x14ac:dyDescent="0.25">
      <c r="A169" s="47"/>
      <c r="B169" s="47"/>
      <c r="C169" s="46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8" t="str">
        <f t="shared" si="4"/>
        <v/>
      </c>
      <c r="P169" s="47" t="str">
        <f t="shared" si="5"/>
        <v/>
      </c>
      <c r="Q169" s="47"/>
      <c r="R169" s="47"/>
      <c r="S169" s="47"/>
      <c r="T169" s="47"/>
    </row>
    <row r="170" spans="1:20" ht="15" customHeight="1" x14ac:dyDescent="0.25">
      <c r="A170" s="47"/>
      <c r="B170" s="47"/>
      <c r="C170" s="46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8" t="str">
        <f t="shared" si="4"/>
        <v/>
      </c>
      <c r="P170" s="47" t="str">
        <f t="shared" si="5"/>
        <v/>
      </c>
      <c r="Q170" s="47"/>
      <c r="R170" s="47"/>
      <c r="S170" s="47"/>
      <c r="T170" s="47"/>
    </row>
    <row r="171" spans="1:20" ht="15" customHeight="1" x14ac:dyDescent="0.25">
      <c r="A171" s="47"/>
      <c r="B171" s="47"/>
      <c r="C171" s="46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8" t="str">
        <f t="shared" si="4"/>
        <v/>
      </c>
      <c r="P171" s="47" t="str">
        <f t="shared" si="5"/>
        <v/>
      </c>
      <c r="Q171" s="47"/>
      <c r="R171" s="47"/>
      <c r="S171" s="47"/>
      <c r="T171" s="47"/>
    </row>
    <row r="172" spans="1:20" ht="15" customHeight="1" x14ac:dyDescent="0.25">
      <c r="A172" s="47"/>
      <c r="B172" s="47"/>
      <c r="C172" s="46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8" t="str">
        <f t="shared" si="4"/>
        <v/>
      </c>
      <c r="P172" s="47" t="str">
        <f t="shared" si="5"/>
        <v/>
      </c>
      <c r="Q172" s="47"/>
      <c r="R172" s="47"/>
      <c r="S172" s="47"/>
      <c r="T172" s="47"/>
    </row>
    <row r="173" spans="1:20" ht="15" customHeight="1" x14ac:dyDescent="0.25">
      <c r="A173" s="47"/>
      <c r="B173" s="47"/>
      <c r="C173" s="46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8" t="str">
        <f t="shared" si="4"/>
        <v/>
      </c>
      <c r="P173" s="47" t="str">
        <f t="shared" si="5"/>
        <v/>
      </c>
      <c r="Q173" s="47"/>
      <c r="R173" s="47"/>
      <c r="S173" s="47"/>
      <c r="T173" s="47"/>
    </row>
    <row r="174" spans="1:20" ht="15" customHeight="1" x14ac:dyDescent="0.25">
      <c r="A174" s="47"/>
      <c r="B174" s="47"/>
      <c r="C174" s="46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8" t="str">
        <f t="shared" si="4"/>
        <v/>
      </c>
      <c r="P174" s="47" t="str">
        <f t="shared" si="5"/>
        <v/>
      </c>
      <c r="Q174" s="47"/>
      <c r="R174" s="47"/>
      <c r="S174" s="47"/>
      <c r="T174" s="47"/>
    </row>
    <row r="175" spans="1:20" ht="15" customHeight="1" x14ac:dyDescent="0.25">
      <c r="A175" s="47"/>
      <c r="B175" s="47"/>
      <c r="C175" s="46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8" t="str">
        <f t="shared" si="4"/>
        <v/>
      </c>
      <c r="P175" s="47" t="str">
        <f t="shared" si="5"/>
        <v/>
      </c>
      <c r="Q175" s="47"/>
      <c r="R175" s="47"/>
      <c r="S175" s="47"/>
      <c r="T175" s="47"/>
    </row>
    <row r="176" spans="1:20" ht="15" customHeight="1" x14ac:dyDescent="0.25">
      <c r="A176" s="47"/>
      <c r="B176" s="47"/>
      <c r="C176" s="4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8" t="str">
        <f t="shared" si="4"/>
        <v/>
      </c>
      <c r="P176" s="47" t="str">
        <f t="shared" si="5"/>
        <v/>
      </c>
      <c r="Q176" s="47"/>
      <c r="R176" s="47"/>
      <c r="S176" s="47"/>
      <c r="T176" s="47"/>
    </row>
    <row r="177" spans="1:20" ht="15" customHeight="1" x14ac:dyDescent="0.25">
      <c r="A177" s="47"/>
      <c r="B177" s="47"/>
      <c r="C177" s="46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8" t="str">
        <f t="shared" si="4"/>
        <v/>
      </c>
      <c r="P177" s="47" t="str">
        <f t="shared" si="5"/>
        <v/>
      </c>
      <c r="Q177" s="47"/>
      <c r="R177" s="47"/>
      <c r="S177" s="47"/>
      <c r="T177" s="47"/>
    </row>
    <row r="178" spans="1:20" ht="15" customHeight="1" x14ac:dyDescent="0.25">
      <c r="A178" s="47"/>
      <c r="B178" s="47"/>
      <c r="C178" s="46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8" t="str">
        <f t="shared" si="4"/>
        <v/>
      </c>
      <c r="P178" s="47" t="str">
        <f t="shared" si="5"/>
        <v/>
      </c>
      <c r="Q178" s="47"/>
      <c r="R178" s="47"/>
      <c r="S178" s="47"/>
      <c r="T178" s="47"/>
    </row>
    <row r="179" spans="1:20" ht="15" customHeight="1" x14ac:dyDescent="0.25">
      <c r="A179" s="47"/>
      <c r="B179" s="47"/>
      <c r="C179" s="46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8" t="str">
        <f t="shared" si="4"/>
        <v/>
      </c>
      <c r="P179" s="47" t="str">
        <f t="shared" si="5"/>
        <v/>
      </c>
      <c r="Q179" s="47"/>
      <c r="R179" s="47"/>
      <c r="S179" s="47"/>
      <c r="T179" s="47"/>
    </row>
    <row r="180" spans="1:20" ht="15" customHeight="1" x14ac:dyDescent="0.25">
      <c r="A180" s="47"/>
      <c r="B180" s="47"/>
      <c r="C180" s="46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8" t="str">
        <f t="shared" si="4"/>
        <v/>
      </c>
      <c r="P180" s="47" t="str">
        <f t="shared" si="5"/>
        <v/>
      </c>
      <c r="Q180" s="47"/>
      <c r="R180" s="47"/>
      <c r="S180" s="47"/>
      <c r="T180" s="47"/>
    </row>
    <row r="181" spans="1:20" ht="15" customHeight="1" x14ac:dyDescent="0.25">
      <c r="A181" s="47"/>
      <c r="B181" s="47"/>
      <c r="C181" s="46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8" t="str">
        <f t="shared" si="4"/>
        <v/>
      </c>
      <c r="P181" s="47" t="str">
        <f t="shared" si="5"/>
        <v/>
      </c>
      <c r="Q181" s="47"/>
      <c r="R181" s="47"/>
      <c r="S181" s="47"/>
      <c r="T181" s="47"/>
    </row>
    <row r="182" spans="1:20" ht="15" customHeight="1" x14ac:dyDescent="0.25">
      <c r="A182" s="47"/>
      <c r="B182" s="47"/>
      <c r="C182" s="46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8" t="str">
        <f t="shared" si="4"/>
        <v/>
      </c>
      <c r="P182" s="47" t="str">
        <f t="shared" si="5"/>
        <v/>
      </c>
      <c r="Q182" s="47"/>
      <c r="R182" s="47"/>
      <c r="S182" s="47"/>
      <c r="T182" s="47"/>
    </row>
    <row r="183" spans="1:20" ht="15" customHeight="1" x14ac:dyDescent="0.25">
      <c r="A183" s="47"/>
      <c r="B183" s="47"/>
      <c r="C183" s="46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8" t="str">
        <f t="shared" si="4"/>
        <v/>
      </c>
      <c r="P183" s="47" t="str">
        <f t="shared" si="5"/>
        <v/>
      </c>
      <c r="Q183" s="47"/>
      <c r="R183" s="47"/>
      <c r="S183" s="47"/>
      <c r="T183" s="47"/>
    </row>
    <row r="184" spans="1:20" ht="15" customHeight="1" x14ac:dyDescent="0.25">
      <c r="A184" s="47"/>
      <c r="B184" s="47"/>
      <c r="C184" s="46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8" t="str">
        <f t="shared" si="4"/>
        <v/>
      </c>
      <c r="P184" s="47" t="str">
        <f t="shared" si="5"/>
        <v/>
      </c>
      <c r="Q184" s="47"/>
      <c r="R184" s="47"/>
      <c r="S184" s="47"/>
      <c r="T184" s="47"/>
    </row>
    <row r="185" spans="1:20" ht="15" customHeight="1" x14ac:dyDescent="0.25">
      <c r="A185" s="47"/>
      <c r="B185" s="47"/>
      <c r="C185" s="46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8" t="str">
        <f t="shared" si="4"/>
        <v/>
      </c>
      <c r="P185" s="47" t="str">
        <f t="shared" si="5"/>
        <v/>
      </c>
      <c r="Q185" s="47"/>
      <c r="R185" s="47"/>
      <c r="S185" s="47"/>
      <c r="T185" s="47"/>
    </row>
    <row r="186" spans="1:20" ht="15" customHeight="1" x14ac:dyDescent="0.25">
      <c r="A186" s="47"/>
      <c r="B186" s="47"/>
      <c r="C186" s="46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8" t="str">
        <f t="shared" si="4"/>
        <v/>
      </c>
      <c r="P186" s="47" t="str">
        <f t="shared" si="5"/>
        <v/>
      </c>
      <c r="Q186" s="47"/>
      <c r="R186" s="47"/>
      <c r="S186" s="47"/>
      <c r="T186" s="47"/>
    </row>
    <row r="187" spans="1:20" ht="15" customHeight="1" x14ac:dyDescent="0.25">
      <c r="A187" s="47"/>
      <c r="B187" s="47"/>
      <c r="C187" s="46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8" t="str">
        <f t="shared" si="4"/>
        <v/>
      </c>
      <c r="P187" s="47" t="str">
        <f t="shared" si="5"/>
        <v/>
      </c>
      <c r="Q187" s="47"/>
      <c r="R187" s="47"/>
      <c r="S187" s="47"/>
      <c r="T187" s="47"/>
    </row>
    <row r="188" spans="1:20" ht="15" customHeight="1" x14ac:dyDescent="0.25">
      <c r="A188" s="47"/>
      <c r="B188" s="47"/>
      <c r="C188" s="46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8" t="str">
        <f t="shared" si="4"/>
        <v/>
      </c>
      <c r="P188" s="47" t="str">
        <f t="shared" si="5"/>
        <v/>
      </c>
      <c r="Q188" s="47"/>
      <c r="R188" s="47"/>
      <c r="S188" s="47"/>
      <c r="T188" s="47"/>
    </row>
    <row r="189" spans="1:20" ht="15" customHeight="1" x14ac:dyDescent="0.25">
      <c r="A189" s="47"/>
      <c r="B189" s="47"/>
      <c r="C189" s="46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8" t="str">
        <f t="shared" si="4"/>
        <v/>
      </c>
      <c r="P189" s="47" t="str">
        <f t="shared" si="5"/>
        <v/>
      </c>
      <c r="Q189" s="47"/>
      <c r="R189" s="47"/>
      <c r="S189" s="47"/>
      <c r="T189" s="47"/>
    </row>
    <row r="190" spans="1:20" ht="15" customHeight="1" x14ac:dyDescent="0.25">
      <c r="A190" s="47"/>
      <c r="B190" s="47"/>
      <c r="C190" s="46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8" t="str">
        <f t="shared" si="4"/>
        <v/>
      </c>
      <c r="P190" s="47" t="str">
        <f t="shared" si="5"/>
        <v/>
      </c>
      <c r="Q190" s="47"/>
      <c r="R190" s="47"/>
      <c r="S190" s="47"/>
      <c r="T190" s="47"/>
    </row>
    <row r="191" spans="1:20" ht="15" customHeight="1" x14ac:dyDescent="0.25">
      <c r="A191" s="47"/>
      <c r="B191" s="47"/>
      <c r="C191" s="46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8" t="str">
        <f t="shared" si="4"/>
        <v/>
      </c>
      <c r="P191" s="47" t="str">
        <f t="shared" si="5"/>
        <v/>
      </c>
      <c r="Q191" s="47"/>
      <c r="R191" s="47"/>
      <c r="S191" s="47"/>
      <c r="T191" s="47"/>
    </row>
    <row r="192" spans="1:20" ht="15" customHeight="1" x14ac:dyDescent="0.25">
      <c r="A192" s="47"/>
      <c r="B192" s="47"/>
      <c r="C192" s="4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8" t="str">
        <f t="shared" si="4"/>
        <v/>
      </c>
      <c r="P192" s="47" t="str">
        <f t="shared" si="5"/>
        <v/>
      </c>
      <c r="Q192" s="47"/>
      <c r="R192" s="47"/>
      <c r="S192" s="47"/>
      <c r="T192" s="47"/>
    </row>
    <row r="193" spans="1:20" ht="15" customHeight="1" x14ac:dyDescent="0.25">
      <c r="A193" s="47"/>
      <c r="B193" s="47"/>
      <c r="C193" s="46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8" t="str">
        <f t="shared" si="4"/>
        <v/>
      </c>
      <c r="P193" s="47" t="str">
        <f t="shared" si="5"/>
        <v/>
      </c>
      <c r="Q193" s="47"/>
      <c r="R193" s="47"/>
      <c r="S193" s="47"/>
      <c r="T193" s="47"/>
    </row>
    <row r="194" spans="1:20" ht="15" customHeight="1" x14ac:dyDescent="0.25">
      <c r="A194" s="47"/>
      <c r="B194" s="47"/>
      <c r="C194" s="46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8" t="str">
        <f t="shared" si="4"/>
        <v/>
      </c>
      <c r="P194" s="47" t="str">
        <f t="shared" si="5"/>
        <v/>
      </c>
      <c r="Q194" s="47"/>
      <c r="R194" s="47"/>
      <c r="S194" s="47"/>
      <c r="T194" s="47"/>
    </row>
    <row r="195" spans="1:20" ht="15" customHeight="1" x14ac:dyDescent="0.25">
      <c r="A195" s="47"/>
      <c r="B195" s="47"/>
      <c r="C195" s="46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8" t="str">
        <f t="shared" si="4"/>
        <v/>
      </c>
      <c r="P195" s="47" t="str">
        <f t="shared" si="5"/>
        <v/>
      </c>
      <c r="Q195" s="47"/>
      <c r="R195" s="47"/>
      <c r="S195" s="47"/>
      <c r="T195" s="47"/>
    </row>
    <row r="196" spans="1:20" ht="15" customHeight="1" x14ac:dyDescent="0.25">
      <c r="A196" s="47"/>
      <c r="B196" s="47"/>
      <c r="C196" s="46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8" t="str">
        <f t="shared" si="4"/>
        <v/>
      </c>
      <c r="P196" s="47" t="str">
        <f t="shared" si="5"/>
        <v/>
      </c>
      <c r="Q196" s="47"/>
      <c r="R196" s="47"/>
      <c r="S196" s="47"/>
      <c r="T196" s="47"/>
    </row>
    <row r="197" spans="1:20" ht="15" customHeight="1" x14ac:dyDescent="0.25">
      <c r="A197" s="47"/>
      <c r="B197" s="47"/>
      <c r="C197" s="46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8" t="str">
        <f t="shared" si="4"/>
        <v/>
      </c>
      <c r="P197" s="47" t="str">
        <f t="shared" si="5"/>
        <v/>
      </c>
      <c r="Q197" s="47"/>
      <c r="R197" s="47"/>
      <c r="S197" s="47"/>
      <c r="T197" s="47"/>
    </row>
    <row r="198" spans="1:20" ht="15" customHeight="1" x14ac:dyDescent="0.25">
      <c r="A198" s="47"/>
      <c r="B198" s="47"/>
      <c r="C198" s="46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8" t="str">
        <f t="shared" ref="O198:O261" si="6">IFERROR(N198/M198,"")</f>
        <v/>
      </c>
      <c r="P198" s="47" t="str">
        <f t="shared" ref="P198:P261" si="7">IF(O198="","",IF(O198&gt;=0.75,"Proficient",IF(O198&gt;=0.5,"Nearly Proficient",IF(O198&gt;=0.25,"Low Proficient","Not Proficient"))))</f>
        <v/>
      </c>
      <c r="Q198" s="47"/>
      <c r="R198" s="47"/>
      <c r="S198" s="47"/>
      <c r="T198" s="47"/>
    </row>
    <row r="199" spans="1:20" ht="15" customHeight="1" x14ac:dyDescent="0.25">
      <c r="A199" s="47"/>
      <c r="B199" s="47"/>
      <c r="C199" s="46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8" t="str">
        <f t="shared" si="6"/>
        <v/>
      </c>
      <c r="P199" s="47" t="str">
        <f t="shared" si="7"/>
        <v/>
      </c>
      <c r="Q199" s="47"/>
      <c r="R199" s="47"/>
      <c r="S199" s="47"/>
      <c r="T199" s="47"/>
    </row>
    <row r="200" spans="1:20" ht="15" customHeight="1" x14ac:dyDescent="0.25">
      <c r="A200" s="47"/>
      <c r="B200" s="47"/>
      <c r="C200" s="46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8" t="str">
        <f t="shared" si="6"/>
        <v/>
      </c>
      <c r="P200" s="47" t="str">
        <f t="shared" si="7"/>
        <v/>
      </c>
      <c r="Q200" s="47"/>
      <c r="R200" s="47"/>
      <c r="S200" s="47"/>
      <c r="T200" s="47"/>
    </row>
    <row r="201" spans="1:20" ht="15" customHeight="1" x14ac:dyDescent="0.25">
      <c r="A201" s="47"/>
      <c r="B201" s="47"/>
      <c r="C201" s="46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8" t="str">
        <f t="shared" si="6"/>
        <v/>
      </c>
      <c r="P201" s="47" t="str">
        <f t="shared" si="7"/>
        <v/>
      </c>
      <c r="Q201" s="47"/>
      <c r="R201" s="47"/>
      <c r="S201" s="47"/>
      <c r="T201" s="47"/>
    </row>
    <row r="202" spans="1:20" ht="15" customHeight="1" x14ac:dyDescent="0.25">
      <c r="A202" s="47"/>
      <c r="B202" s="47"/>
      <c r="C202" s="46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8" t="str">
        <f t="shared" si="6"/>
        <v/>
      </c>
      <c r="P202" s="47" t="str">
        <f t="shared" si="7"/>
        <v/>
      </c>
      <c r="Q202" s="47"/>
      <c r="R202" s="47"/>
      <c r="S202" s="47"/>
      <c r="T202" s="47"/>
    </row>
    <row r="203" spans="1:20" ht="15" customHeight="1" x14ac:dyDescent="0.25">
      <c r="A203" s="47"/>
      <c r="B203" s="47"/>
      <c r="C203" s="46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8" t="str">
        <f t="shared" si="6"/>
        <v/>
      </c>
      <c r="P203" s="47" t="str">
        <f t="shared" si="7"/>
        <v/>
      </c>
      <c r="Q203" s="47"/>
      <c r="R203" s="47"/>
      <c r="S203" s="47"/>
      <c r="T203" s="47"/>
    </row>
    <row r="204" spans="1:20" ht="15" customHeight="1" x14ac:dyDescent="0.25">
      <c r="A204" s="47"/>
      <c r="B204" s="47"/>
      <c r="C204" s="46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8" t="str">
        <f t="shared" si="6"/>
        <v/>
      </c>
      <c r="P204" s="47" t="str">
        <f t="shared" si="7"/>
        <v/>
      </c>
      <c r="Q204" s="47"/>
      <c r="R204" s="47"/>
      <c r="S204" s="47"/>
      <c r="T204" s="47"/>
    </row>
    <row r="205" spans="1:20" ht="15" customHeight="1" x14ac:dyDescent="0.25">
      <c r="A205" s="47"/>
      <c r="B205" s="47"/>
      <c r="C205" s="46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8" t="str">
        <f t="shared" si="6"/>
        <v/>
      </c>
      <c r="P205" s="47" t="str">
        <f t="shared" si="7"/>
        <v/>
      </c>
      <c r="Q205" s="47"/>
      <c r="R205" s="47"/>
      <c r="S205" s="47"/>
      <c r="T205" s="47"/>
    </row>
    <row r="206" spans="1:20" ht="15" customHeight="1" x14ac:dyDescent="0.25">
      <c r="A206" s="47"/>
      <c r="B206" s="47"/>
      <c r="C206" s="46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8" t="str">
        <f t="shared" si="6"/>
        <v/>
      </c>
      <c r="P206" s="47" t="str">
        <f t="shared" si="7"/>
        <v/>
      </c>
      <c r="Q206" s="47"/>
      <c r="R206" s="47"/>
      <c r="S206" s="47"/>
      <c r="T206" s="47"/>
    </row>
    <row r="207" spans="1:20" ht="15" customHeight="1" x14ac:dyDescent="0.25">
      <c r="A207" s="47"/>
      <c r="B207" s="47"/>
      <c r="C207" s="46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8" t="str">
        <f t="shared" si="6"/>
        <v/>
      </c>
      <c r="P207" s="47" t="str">
        <f t="shared" si="7"/>
        <v/>
      </c>
      <c r="Q207" s="47"/>
      <c r="R207" s="47"/>
      <c r="S207" s="47"/>
      <c r="T207" s="47"/>
    </row>
    <row r="208" spans="1:20" ht="15" customHeight="1" x14ac:dyDescent="0.25">
      <c r="A208" s="47"/>
      <c r="B208" s="47"/>
      <c r="C208" s="4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8" t="str">
        <f t="shared" si="6"/>
        <v/>
      </c>
      <c r="P208" s="47" t="str">
        <f t="shared" si="7"/>
        <v/>
      </c>
      <c r="Q208" s="47"/>
      <c r="R208" s="47"/>
      <c r="S208" s="47"/>
      <c r="T208" s="47"/>
    </row>
    <row r="209" spans="1:20" ht="15" customHeight="1" x14ac:dyDescent="0.25">
      <c r="A209" s="47"/>
      <c r="B209" s="47"/>
      <c r="C209" s="46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8" t="str">
        <f t="shared" si="6"/>
        <v/>
      </c>
      <c r="P209" s="47" t="str">
        <f t="shared" si="7"/>
        <v/>
      </c>
      <c r="Q209" s="47"/>
      <c r="R209" s="47"/>
      <c r="S209" s="47"/>
      <c r="T209" s="47"/>
    </row>
    <row r="210" spans="1:20" ht="15" customHeight="1" x14ac:dyDescent="0.25">
      <c r="A210" s="47"/>
      <c r="B210" s="47"/>
      <c r="C210" s="46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8" t="str">
        <f t="shared" si="6"/>
        <v/>
      </c>
      <c r="P210" s="47" t="str">
        <f t="shared" si="7"/>
        <v/>
      </c>
      <c r="Q210" s="47"/>
      <c r="R210" s="47"/>
      <c r="S210" s="47"/>
      <c r="T210" s="47"/>
    </row>
    <row r="211" spans="1:20" ht="15" customHeight="1" x14ac:dyDescent="0.25">
      <c r="A211" s="47"/>
      <c r="B211" s="47"/>
      <c r="C211" s="46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8" t="str">
        <f t="shared" si="6"/>
        <v/>
      </c>
      <c r="P211" s="47" t="str">
        <f t="shared" si="7"/>
        <v/>
      </c>
      <c r="Q211" s="47"/>
      <c r="R211" s="47"/>
      <c r="S211" s="47"/>
      <c r="T211" s="47"/>
    </row>
    <row r="212" spans="1:20" ht="15" customHeight="1" x14ac:dyDescent="0.25">
      <c r="A212" s="47"/>
      <c r="B212" s="47"/>
      <c r="C212" s="4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8" t="str">
        <f t="shared" si="6"/>
        <v/>
      </c>
      <c r="P212" s="47" t="str">
        <f t="shared" si="7"/>
        <v/>
      </c>
      <c r="Q212" s="47"/>
      <c r="R212" s="47"/>
      <c r="S212" s="47"/>
      <c r="T212" s="47"/>
    </row>
    <row r="213" spans="1:20" ht="15" customHeight="1" x14ac:dyDescent="0.25">
      <c r="A213" s="47"/>
      <c r="B213" s="47"/>
      <c r="C213" s="46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8" t="str">
        <f t="shared" si="6"/>
        <v/>
      </c>
      <c r="P213" s="47" t="str">
        <f t="shared" si="7"/>
        <v/>
      </c>
      <c r="Q213" s="47"/>
      <c r="R213" s="47"/>
      <c r="S213" s="47"/>
      <c r="T213" s="47"/>
    </row>
    <row r="214" spans="1:20" ht="15" customHeight="1" x14ac:dyDescent="0.25">
      <c r="A214" s="47"/>
      <c r="B214" s="47"/>
      <c r="C214" s="46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8" t="str">
        <f t="shared" si="6"/>
        <v/>
      </c>
      <c r="P214" s="47" t="str">
        <f t="shared" si="7"/>
        <v/>
      </c>
      <c r="Q214" s="47"/>
      <c r="R214" s="47"/>
      <c r="S214" s="47"/>
      <c r="T214" s="47"/>
    </row>
    <row r="215" spans="1:20" ht="15" customHeight="1" x14ac:dyDescent="0.25">
      <c r="A215" s="47"/>
      <c r="B215" s="47"/>
      <c r="C215" s="46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8" t="str">
        <f t="shared" si="6"/>
        <v/>
      </c>
      <c r="P215" s="47" t="str">
        <f t="shared" si="7"/>
        <v/>
      </c>
      <c r="Q215" s="47"/>
      <c r="R215" s="47"/>
      <c r="S215" s="47"/>
      <c r="T215" s="47"/>
    </row>
    <row r="216" spans="1:20" ht="15" customHeight="1" x14ac:dyDescent="0.25">
      <c r="A216" s="47"/>
      <c r="B216" s="47"/>
      <c r="C216" s="46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8" t="str">
        <f t="shared" si="6"/>
        <v/>
      </c>
      <c r="P216" s="47" t="str">
        <f t="shared" si="7"/>
        <v/>
      </c>
      <c r="Q216" s="47"/>
      <c r="R216" s="47"/>
      <c r="S216" s="47"/>
      <c r="T216" s="47"/>
    </row>
    <row r="217" spans="1:20" ht="15" customHeight="1" x14ac:dyDescent="0.25">
      <c r="A217" s="47"/>
      <c r="B217" s="47"/>
      <c r="C217" s="46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8" t="str">
        <f t="shared" si="6"/>
        <v/>
      </c>
      <c r="P217" s="47" t="str">
        <f t="shared" si="7"/>
        <v/>
      </c>
      <c r="Q217" s="47"/>
      <c r="R217" s="47"/>
      <c r="S217" s="47"/>
      <c r="T217" s="47"/>
    </row>
    <row r="218" spans="1:20" ht="15" customHeight="1" x14ac:dyDescent="0.25">
      <c r="A218" s="47"/>
      <c r="B218" s="47"/>
      <c r="C218" s="46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8" t="str">
        <f t="shared" si="6"/>
        <v/>
      </c>
      <c r="P218" s="47" t="str">
        <f t="shared" si="7"/>
        <v/>
      </c>
      <c r="Q218" s="47"/>
      <c r="R218" s="47"/>
      <c r="S218" s="47"/>
      <c r="T218" s="47"/>
    </row>
    <row r="219" spans="1:20" ht="15" customHeight="1" x14ac:dyDescent="0.25">
      <c r="A219" s="47"/>
      <c r="B219" s="47"/>
      <c r="C219" s="46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8" t="str">
        <f t="shared" si="6"/>
        <v/>
      </c>
      <c r="P219" s="47" t="str">
        <f t="shared" si="7"/>
        <v/>
      </c>
      <c r="Q219" s="47"/>
      <c r="R219" s="47"/>
      <c r="S219" s="47"/>
      <c r="T219" s="47"/>
    </row>
    <row r="220" spans="1:20" ht="15" customHeight="1" x14ac:dyDescent="0.25">
      <c r="A220" s="47"/>
      <c r="B220" s="47"/>
      <c r="C220" s="46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8" t="str">
        <f t="shared" si="6"/>
        <v/>
      </c>
      <c r="P220" s="47" t="str">
        <f t="shared" si="7"/>
        <v/>
      </c>
      <c r="Q220" s="47"/>
      <c r="R220" s="47"/>
      <c r="S220" s="47"/>
      <c r="T220" s="47"/>
    </row>
    <row r="221" spans="1:20" ht="15" customHeight="1" x14ac:dyDescent="0.25">
      <c r="A221" s="47"/>
      <c r="B221" s="47"/>
      <c r="C221" s="46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8" t="str">
        <f t="shared" si="6"/>
        <v/>
      </c>
      <c r="P221" s="47" t="str">
        <f t="shared" si="7"/>
        <v/>
      </c>
      <c r="Q221" s="47"/>
      <c r="R221" s="47"/>
      <c r="S221" s="47"/>
      <c r="T221" s="47"/>
    </row>
    <row r="222" spans="1:20" ht="15" customHeight="1" x14ac:dyDescent="0.25">
      <c r="A222" s="47"/>
      <c r="B222" s="47"/>
      <c r="C222" s="46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8" t="str">
        <f t="shared" si="6"/>
        <v/>
      </c>
      <c r="P222" s="47" t="str">
        <f t="shared" si="7"/>
        <v/>
      </c>
      <c r="Q222" s="47"/>
      <c r="R222" s="47"/>
      <c r="S222" s="47"/>
      <c r="T222" s="47"/>
    </row>
    <row r="223" spans="1:20" ht="15" customHeight="1" x14ac:dyDescent="0.25">
      <c r="A223" s="47"/>
      <c r="B223" s="47"/>
      <c r="C223" s="46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8" t="str">
        <f t="shared" si="6"/>
        <v/>
      </c>
      <c r="P223" s="47" t="str">
        <f t="shared" si="7"/>
        <v/>
      </c>
      <c r="Q223" s="47"/>
      <c r="R223" s="47"/>
      <c r="S223" s="47"/>
      <c r="T223" s="47"/>
    </row>
    <row r="224" spans="1:20" ht="15" customHeight="1" x14ac:dyDescent="0.25">
      <c r="A224" s="47"/>
      <c r="B224" s="47"/>
      <c r="C224" s="46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8" t="str">
        <f t="shared" si="6"/>
        <v/>
      </c>
      <c r="P224" s="47" t="str">
        <f t="shared" si="7"/>
        <v/>
      </c>
      <c r="Q224" s="47"/>
      <c r="R224" s="47"/>
      <c r="S224" s="47"/>
      <c r="T224" s="47"/>
    </row>
    <row r="225" spans="1:20" ht="15" customHeight="1" x14ac:dyDescent="0.25">
      <c r="A225" s="47"/>
      <c r="B225" s="47"/>
      <c r="C225" s="46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8" t="str">
        <f t="shared" si="6"/>
        <v/>
      </c>
      <c r="P225" s="47" t="str">
        <f t="shared" si="7"/>
        <v/>
      </c>
      <c r="Q225" s="47"/>
      <c r="R225" s="47"/>
      <c r="S225" s="47"/>
      <c r="T225" s="47"/>
    </row>
    <row r="226" spans="1:20" ht="15" customHeight="1" x14ac:dyDescent="0.25">
      <c r="A226" s="47"/>
      <c r="B226" s="47"/>
      <c r="C226" s="46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8" t="str">
        <f t="shared" si="6"/>
        <v/>
      </c>
      <c r="P226" s="47" t="str">
        <f t="shared" si="7"/>
        <v/>
      </c>
      <c r="Q226" s="47"/>
      <c r="R226" s="47"/>
      <c r="S226" s="47"/>
      <c r="T226" s="47"/>
    </row>
    <row r="227" spans="1:20" ht="15" customHeight="1" x14ac:dyDescent="0.25">
      <c r="A227" s="47"/>
      <c r="B227" s="47"/>
      <c r="C227" s="46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8" t="str">
        <f t="shared" si="6"/>
        <v/>
      </c>
      <c r="P227" s="47" t="str">
        <f t="shared" si="7"/>
        <v/>
      </c>
      <c r="Q227" s="47"/>
      <c r="R227" s="47"/>
      <c r="S227" s="47"/>
      <c r="T227" s="47"/>
    </row>
    <row r="228" spans="1:20" ht="15" customHeight="1" x14ac:dyDescent="0.25">
      <c r="A228" s="47"/>
      <c r="B228" s="47"/>
      <c r="C228" s="46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8" t="str">
        <f t="shared" si="6"/>
        <v/>
      </c>
      <c r="P228" s="47" t="str">
        <f t="shared" si="7"/>
        <v/>
      </c>
      <c r="Q228" s="47"/>
      <c r="R228" s="47"/>
      <c r="S228" s="47"/>
      <c r="T228" s="47"/>
    </row>
    <row r="229" spans="1:20" ht="15" customHeight="1" x14ac:dyDescent="0.25">
      <c r="A229" s="47"/>
      <c r="B229" s="47"/>
      <c r="C229" s="46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8" t="str">
        <f t="shared" si="6"/>
        <v/>
      </c>
      <c r="P229" s="47" t="str">
        <f t="shared" si="7"/>
        <v/>
      </c>
      <c r="Q229" s="47"/>
      <c r="R229" s="47"/>
      <c r="S229" s="47"/>
      <c r="T229" s="47"/>
    </row>
    <row r="230" spans="1:20" ht="15" customHeight="1" x14ac:dyDescent="0.25">
      <c r="A230" s="47"/>
      <c r="B230" s="47"/>
      <c r="C230" s="46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8" t="str">
        <f t="shared" si="6"/>
        <v/>
      </c>
      <c r="P230" s="47" t="str">
        <f t="shared" si="7"/>
        <v/>
      </c>
      <c r="Q230" s="47"/>
      <c r="R230" s="47"/>
      <c r="S230" s="47"/>
      <c r="T230" s="47"/>
    </row>
    <row r="231" spans="1:20" ht="15" customHeight="1" x14ac:dyDescent="0.25">
      <c r="A231" s="47"/>
      <c r="B231" s="47"/>
      <c r="C231" s="46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8" t="str">
        <f t="shared" si="6"/>
        <v/>
      </c>
      <c r="P231" s="47" t="str">
        <f t="shared" si="7"/>
        <v/>
      </c>
      <c r="Q231" s="47"/>
      <c r="R231" s="47"/>
      <c r="S231" s="47"/>
      <c r="T231" s="47"/>
    </row>
    <row r="232" spans="1:20" ht="15" customHeight="1" x14ac:dyDescent="0.25">
      <c r="A232" s="47"/>
      <c r="B232" s="47"/>
      <c r="C232" s="46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8" t="str">
        <f t="shared" si="6"/>
        <v/>
      </c>
      <c r="P232" s="47" t="str">
        <f t="shared" si="7"/>
        <v/>
      </c>
      <c r="Q232" s="47"/>
      <c r="R232" s="47"/>
      <c r="S232" s="47"/>
      <c r="T232" s="47"/>
    </row>
    <row r="233" spans="1:20" ht="15" customHeight="1" x14ac:dyDescent="0.25">
      <c r="A233" s="47"/>
      <c r="B233" s="47"/>
      <c r="C233" s="46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8" t="str">
        <f t="shared" si="6"/>
        <v/>
      </c>
      <c r="P233" s="47" t="str">
        <f t="shared" si="7"/>
        <v/>
      </c>
      <c r="Q233" s="47"/>
      <c r="R233" s="47"/>
      <c r="S233" s="47"/>
      <c r="T233" s="47"/>
    </row>
    <row r="234" spans="1:20" ht="15" customHeight="1" x14ac:dyDescent="0.25">
      <c r="A234" s="47"/>
      <c r="B234" s="47"/>
      <c r="C234" s="46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8" t="str">
        <f t="shared" si="6"/>
        <v/>
      </c>
      <c r="P234" s="47" t="str">
        <f t="shared" si="7"/>
        <v/>
      </c>
      <c r="Q234" s="47"/>
      <c r="R234" s="47"/>
      <c r="S234" s="47"/>
      <c r="T234" s="47"/>
    </row>
    <row r="235" spans="1:20" ht="15" customHeight="1" x14ac:dyDescent="0.25">
      <c r="A235" s="47"/>
      <c r="B235" s="47"/>
      <c r="C235" s="46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8" t="str">
        <f t="shared" si="6"/>
        <v/>
      </c>
      <c r="P235" s="47" t="str">
        <f t="shared" si="7"/>
        <v/>
      </c>
      <c r="Q235" s="47"/>
      <c r="R235" s="47"/>
      <c r="S235" s="47"/>
      <c r="T235" s="47"/>
    </row>
    <row r="236" spans="1:20" ht="15" customHeight="1" x14ac:dyDescent="0.25">
      <c r="A236" s="47"/>
      <c r="B236" s="47"/>
      <c r="C236" s="46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8" t="str">
        <f t="shared" si="6"/>
        <v/>
      </c>
      <c r="P236" s="47" t="str">
        <f t="shared" si="7"/>
        <v/>
      </c>
      <c r="Q236" s="47"/>
      <c r="R236" s="47"/>
      <c r="S236" s="47"/>
      <c r="T236" s="47"/>
    </row>
    <row r="237" spans="1:20" ht="15" customHeight="1" x14ac:dyDescent="0.25">
      <c r="A237" s="47"/>
      <c r="B237" s="47"/>
      <c r="C237" s="46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8" t="str">
        <f t="shared" si="6"/>
        <v/>
      </c>
      <c r="P237" s="47" t="str">
        <f t="shared" si="7"/>
        <v/>
      </c>
      <c r="Q237" s="47"/>
      <c r="R237" s="47"/>
      <c r="S237" s="47"/>
      <c r="T237" s="47"/>
    </row>
    <row r="238" spans="1:20" ht="15" customHeight="1" x14ac:dyDescent="0.25">
      <c r="A238" s="47"/>
      <c r="B238" s="47"/>
      <c r="C238" s="46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8" t="str">
        <f t="shared" si="6"/>
        <v/>
      </c>
      <c r="P238" s="47" t="str">
        <f t="shared" si="7"/>
        <v/>
      </c>
      <c r="Q238" s="47"/>
      <c r="R238" s="47"/>
      <c r="S238" s="47"/>
      <c r="T238" s="47"/>
    </row>
    <row r="239" spans="1:20" ht="15" customHeight="1" x14ac:dyDescent="0.25">
      <c r="A239" s="47"/>
      <c r="B239" s="47"/>
      <c r="C239" s="46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8" t="str">
        <f t="shared" si="6"/>
        <v/>
      </c>
      <c r="P239" s="47" t="str">
        <f t="shared" si="7"/>
        <v/>
      </c>
      <c r="Q239" s="47"/>
      <c r="R239" s="47"/>
      <c r="S239" s="47"/>
      <c r="T239" s="47"/>
    </row>
    <row r="240" spans="1:20" ht="15" customHeight="1" x14ac:dyDescent="0.25">
      <c r="A240" s="47"/>
      <c r="B240" s="47"/>
      <c r="C240" s="46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8" t="str">
        <f t="shared" si="6"/>
        <v/>
      </c>
      <c r="P240" s="47" t="str">
        <f t="shared" si="7"/>
        <v/>
      </c>
      <c r="Q240" s="47"/>
      <c r="R240" s="47"/>
      <c r="S240" s="47"/>
      <c r="T240" s="47"/>
    </row>
    <row r="241" spans="1:20" ht="15" customHeight="1" x14ac:dyDescent="0.25">
      <c r="A241" s="47"/>
      <c r="B241" s="47"/>
      <c r="C241" s="46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8" t="str">
        <f t="shared" si="6"/>
        <v/>
      </c>
      <c r="P241" s="47" t="str">
        <f t="shared" si="7"/>
        <v/>
      </c>
      <c r="Q241" s="47"/>
      <c r="R241" s="47"/>
      <c r="S241" s="47"/>
      <c r="T241" s="47"/>
    </row>
    <row r="242" spans="1:20" ht="15" customHeight="1" x14ac:dyDescent="0.25">
      <c r="A242" s="47"/>
      <c r="B242" s="47"/>
      <c r="C242" s="46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8" t="str">
        <f t="shared" si="6"/>
        <v/>
      </c>
      <c r="P242" s="47" t="str">
        <f t="shared" si="7"/>
        <v/>
      </c>
      <c r="Q242" s="47"/>
      <c r="R242" s="47"/>
      <c r="S242" s="47"/>
      <c r="T242" s="47"/>
    </row>
    <row r="243" spans="1:20" ht="15" customHeight="1" x14ac:dyDescent="0.25">
      <c r="A243" s="47"/>
      <c r="B243" s="47"/>
      <c r="C243" s="46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8" t="str">
        <f t="shared" si="6"/>
        <v/>
      </c>
      <c r="P243" s="47" t="str">
        <f t="shared" si="7"/>
        <v/>
      </c>
      <c r="Q243" s="47"/>
      <c r="R243" s="47"/>
      <c r="S243" s="47"/>
      <c r="T243" s="47"/>
    </row>
    <row r="244" spans="1:20" ht="15" customHeight="1" x14ac:dyDescent="0.25">
      <c r="A244" s="47"/>
      <c r="B244" s="47"/>
      <c r="C244" s="46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8" t="str">
        <f t="shared" si="6"/>
        <v/>
      </c>
      <c r="P244" s="47" t="str">
        <f t="shared" si="7"/>
        <v/>
      </c>
      <c r="Q244" s="47"/>
      <c r="R244" s="47"/>
      <c r="S244" s="47"/>
      <c r="T244" s="47"/>
    </row>
    <row r="245" spans="1:20" ht="15" customHeight="1" x14ac:dyDescent="0.25">
      <c r="A245" s="47"/>
      <c r="B245" s="47"/>
      <c r="C245" s="46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8" t="str">
        <f t="shared" si="6"/>
        <v/>
      </c>
      <c r="P245" s="47" t="str">
        <f t="shared" si="7"/>
        <v/>
      </c>
      <c r="Q245" s="47"/>
      <c r="R245" s="47"/>
      <c r="S245" s="47"/>
      <c r="T245" s="47"/>
    </row>
    <row r="246" spans="1:20" ht="15" customHeight="1" x14ac:dyDescent="0.25">
      <c r="A246" s="47"/>
      <c r="B246" s="47"/>
      <c r="C246" s="46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8" t="str">
        <f t="shared" si="6"/>
        <v/>
      </c>
      <c r="P246" s="47" t="str">
        <f t="shared" si="7"/>
        <v/>
      </c>
      <c r="Q246" s="47"/>
      <c r="R246" s="47"/>
      <c r="S246" s="47"/>
      <c r="T246" s="47"/>
    </row>
    <row r="247" spans="1:20" ht="15" customHeight="1" x14ac:dyDescent="0.25">
      <c r="A247" s="47"/>
      <c r="B247" s="47"/>
      <c r="C247" s="46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8" t="str">
        <f t="shared" si="6"/>
        <v/>
      </c>
      <c r="P247" s="47" t="str">
        <f t="shared" si="7"/>
        <v/>
      </c>
      <c r="Q247" s="47"/>
      <c r="R247" s="47"/>
      <c r="S247" s="47"/>
      <c r="T247" s="47"/>
    </row>
    <row r="248" spans="1:20" ht="15" customHeight="1" x14ac:dyDescent="0.25">
      <c r="A248" s="47"/>
      <c r="B248" s="47"/>
      <c r="C248" s="46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8" t="str">
        <f t="shared" si="6"/>
        <v/>
      </c>
      <c r="P248" s="47" t="str">
        <f t="shared" si="7"/>
        <v/>
      </c>
      <c r="Q248" s="47"/>
      <c r="R248" s="47"/>
      <c r="S248" s="47"/>
      <c r="T248" s="47"/>
    </row>
    <row r="249" spans="1:20" ht="15" customHeight="1" x14ac:dyDescent="0.25">
      <c r="A249" s="47"/>
      <c r="B249" s="47"/>
      <c r="C249" s="46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8" t="str">
        <f t="shared" si="6"/>
        <v/>
      </c>
      <c r="P249" s="47" t="str">
        <f t="shared" si="7"/>
        <v/>
      </c>
      <c r="Q249" s="47"/>
      <c r="R249" s="47"/>
      <c r="S249" s="47"/>
      <c r="T249" s="47"/>
    </row>
    <row r="250" spans="1:20" ht="15" customHeight="1" x14ac:dyDescent="0.25">
      <c r="A250" s="47"/>
      <c r="B250" s="47"/>
      <c r="C250" s="46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8" t="str">
        <f t="shared" si="6"/>
        <v/>
      </c>
      <c r="P250" s="47" t="str">
        <f t="shared" si="7"/>
        <v/>
      </c>
      <c r="Q250" s="47"/>
      <c r="R250" s="47"/>
      <c r="S250" s="47"/>
      <c r="T250" s="47"/>
    </row>
    <row r="251" spans="1:20" ht="15" customHeight="1" x14ac:dyDescent="0.25">
      <c r="A251" s="47"/>
      <c r="B251" s="47"/>
      <c r="C251" s="46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8" t="str">
        <f t="shared" si="6"/>
        <v/>
      </c>
      <c r="P251" s="47" t="str">
        <f t="shared" si="7"/>
        <v/>
      </c>
      <c r="Q251" s="47"/>
      <c r="R251" s="47"/>
      <c r="S251" s="47"/>
      <c r="T251" s="47"/>
    </row>
    <row r="252" spans="1:20" ht="15" customHeight="1" x14ac:dyDescent="0.25">
      <c r="A252" s="47"/>
      <c r="B252" s="47"/>
      <c r="C252" s="46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8" t="str">
        <f t="shared" si="6"/>
        <v/>
      </c>
      <c r="P252" s="47" t="str">
        <f t="shared" si="7"/>
        <v/>
      </c>
      <c r="Q252" s="47"/>
      <c r="R252" s="47"/>
      <c r="S252" s="47"/>
      <c r="T252" s="47"/>
    </row>
    <row r="253" spans="1:20" ht="15" customHeight="1" x14ac:dyDescent="0.25">
      <c r="A253" s="47"/>
      <c r="B253" s="47"/>
      <c r="C253" s="46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8" t="str">
        <f t="shared" si="6"/>
        <v/>
      </c>
      <c r="P253" s="47" t="str">
        <f t="shared" si="7"/>
        <v/>
      </c>
      <c r="Q253" s="47"/>
      <c r="R253" s="47"/>
      <c r="S253" s="47"/>
      <c r="T253" s="47"/>
    </row>
    <row r="254" spans="1:20" ht="15" customHeight="1" x14ac:dyDescent="0.25">
      <c r="A254" s="47"/>
      <c r="B254" s="47"/>
      <c r="C254" s="46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8" t="str">
        <f t="shared" si="6"/>
        <v/>
      </c>
      <c r="P254" s="47" t="str">
        <f t="shared" si="7"/>
        <v/>
      </c>
      <c r="Q254" s="47"/>
      <c r="R254" s="47"/>
      <c r="S254" s="47"/>
      <c r="T254" s="47"/>
    </row>
    <row r="255" spans="1:20" ht="15" customHeight="1" x14ac:dyDescent="0.25">
      <c r="A255" s="47"/>
      <c r="B255" s="47"/>
      <c r="C255" s="46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8" t="str">
        <f t="shared" si="6"/>
        <v/>
      </c>
      <c r="P255" s="47" t="str">
        <f t="shared" si="7"/>
        <v/>
      </c>
      <c r="Q255" s="47"/>
      <c r="R255" s="47"/>
      <c r="S255" s="47"/>
      <c r="T255" s="47"/>
    </row>
    <row r="256" spans="1:20" ht="15" customHeight="1" x14ac:dyDescent="0.25">
      <c r="A256" s="47"/>
      <c r="B256" s="47"/>
      <c r="C256" s="46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8" t="str">
        <f t="shared" si="6"/>
        <v/>
      </c>
      <c r="P256" s="47" t="str">
        <f t="shared" si="7"/>
        <v/>
      </c>
      <c r="Q256" s="47"/>
      <c r="R256" s="47"/>
      <c r="S256" s="47"/>
      <c r="T256" s="47"/>
    </row>
    <row r="257" spans="1:20" ht="15" customHeight="1" x14ac:dyDescent="0.25">
      <c r="A257" s="47"/>
      <c r="B257" s="47"/>
      <c r="C257" s="46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8" t="str">
        <f t="shared" si="6"/>
        <v/>
      </c>
      <c r="P257" s="47" t="str">
        <f t="shared" si="7"/>
        <v/>
      </c>
      <c r="Q257" s="47"/>
      <c r="R257" s="47"/>
      <c r="S257" s="47"/>
      <c r="T257" s="47"/>
    </row>
    <row r="258" spans="1:20" ht="15" customHeight="1" x14ac:dyDescent="0.25">
      <c r="A258" s="47"/>
      <c r="B258" s="47"/>
      <c r="C258" s="46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8" t="str">
        <f t="shared" si="6"/>
        <v/>
      </c>
      <c r="P258" s="47" t="str">
        <f t="shared" si="7"/>
        <v/>
      </c>
      <c r="Q258" s="47"/>
      <c r="R258" s="47"/>
      <c r="S258" s="47"/>
      <c r="T258" s="47"/>
    </row>
    <row r="259" spans="1:20" ht="15" customHeight="1" x14ac:dyDescent="0.25">
      <c r="A259" s="47"/>
      <c r="B259" s="47"/>
      <c r="C259" s="46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8" t="str">
        <f t="shared" si="6"/>
        <v/>
      </c>
      <c r="P259" s="47" t="str">
        <f t="shared" si="7"/>
        <v/>
      </c>
      <c r="Q259" s="47"/>
      <c r="R259" s="47"/>
      <c r="S259" s="47"/>
      <c r="T259" s="47"/>
    </row>
    <row r="260" spans="1:20" ht="15" customHeight="1" x14ac:dyDescent="0.25">
      <c r="A260" s="47"/>
      <c r="B260" s="47"/>
      <c r="C260" s="46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8" t="str">
        <f t="shared" si="6"/>
        <v/>
      </c>
      <c r="P260" s="47" t="str">
        <f t="shared" si="7"/>
        <v/>
      </c>
      <c r="Q260" s="47"/>
      <c r="R260" s="47"/>
      <c r="S260" s="47"/>
      <c r="T260" s="47"/>
    </row>
    <row r="261" spans="1:20" ht="15" customHeight="1" x14ac:dyDescent="0.25">
      <c r="A261" s="47"/>
      <c r="B261" s="47"/>
      <c r="C261" s="46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8" t="str">
        <f t="shared" si="6"/>
        <v/>
      </c>
      <c r="P261" s="47" t="str">
        <f t="shared" si="7"/>
        <v/>
      </c>
      <c r="Q261" s="47"/>
      <c r="R261" s="47"/>
      <c r="S261" s="47"/>
      <c r="T261" s="47"/>
    </row>
    <row r="262" spans="1:20" ht="15" customHeight="1" x14ac:dyDescent="0.25">
      <c r="A262" s="47"/>
      <c r="B262" s="47"/>
      <c r="C262" s="46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8" t="str">
        <f t="shared" ref="O262:O325" si="8">IFERROR(N262/M262,"")</f>
        <v/>
      </c>
      <c r="P262" s="47" t="str">
        <f t="shared" ref="P262:P325" si="9">IF(O262="","",IF(O262&gt;=0.75,"Proficient",IF(O262&gt;=0.5,"Nearly Proficient",IF(O262&gt;=0.25,"Low Proficient","Not Proficient"))))</f>
        <v/>
      </c>
      <c r="Q262" s="47"/>
      <c r="R262" s="47"/>
      <c r="S262" s="47"/>
      <c r="T262" s="47"/>
    </row>
    <row r="263" spans="1:20" ht="15" customHeight="1" x14ac:dyDescent="0.25">
      <c r="A263" s="47"/>
      <c r="B263" s="47"/>
      <c r="C263" s="46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8" t="str">
        <f t="shared" si="8"/>
        <v/>
      </c>
      <c r="P263" s="47" t="str">
        <f t="shared" si="9"/>
        <v/>
      </c>
      <c r="Q263" s="47"/>
      <c r="R263" s="47"/>
      <c r="S263" s="47"/>
      <c r="T263" s="47"/>
    </row>
    <row r="264" spans="1:20" ht="15" customHeight="1" x14ac:dyDescent="0.25">
      <c r="A264" s="47"/>
      <c r="B264" s="47"/>
      <c r="C264" s="46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8" t="str">
        <f t="shared" si="8"/>
        <v/>
      </c>
      <c r="P264" s="47" t="str">
        <f t="shared" si="9"/>
        <v/>
      </c>
      <c r="Q264" s="47"/>
      <c r="R264" s="47"/>
      <c r="S264" s="47"/>
      <c r="T264" s="47"/>
    </row>
    <row r="265" spans="1:20" ht="15" customHeight="1" x14ac:dyDescent="0.25">
      <c r="A265" s="47"/>
      <c r="B265" s="47"/>
      <c r="C265" s="46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8" t="str">
        <f t="shared" si="8"/>
        <v/>
      </c>
      <c r="P265" s="47" t="str">
        <f t="shared" si="9"/>
        <v/>
      </c>
      <c r="Q265" s="47"/>
      <c r="R265" s="47"/>
      <c r="S265" s="47"/>
      <c r="T265" s="47"/>
    </row>
    <row r="266" spans="1:20" ht="15" customHeight="1" x14ac:dyDescent="0.25">
      <c r="A266" s="47"/>
      <c r="B266" s="47"/>
      <c r="C266" s="46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8" t="str">
        <f t="shared" si="8"/>
        <v/>
      </c>
      <c r="P266" s="47" t="str">
        <f t="shared" si="9"/>
        <v/>
      </c>
      <c r="Q266" s="47"/>
      <c r="R266" s="47"/>
      <c r="S266" s="47"/>
      <c r="T266" s="47"/>
    </row>
    <row r="267" spans="1:20" ht="15" customHeight="1" x14ac:dyDescent="0.25">
      <c r="A267" s="47"/>
      <c r="B267" s="47"/>
      <c r="C267" s="46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8" t="str">
        <f t="shared" si="8"/>
        <v/>
      </c>
      <c r="P267" s="47" t="str">
        <f t="shared" si="9"/>
        <v/>
      </c>
      <c r="Q267" s="47"/>
      <c r="R267" s="47"/>
      <c r="S267" s="47"/>
      <c r="T267" s="47"/>
    </row>
    <row r="268" spans="1:20" ht="15" customHeight="1" x14ac:dyDescent="0.25">
      <c r="A268" s="47"/>
      <c r="B268" s="47"/>
      <c r="C268" s="46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8" t="str">
        <f t="shared" si="8"/>
        <v/>
      </c>
      <c r="P268" s="47" t="str">
        <f t="shared" si="9"/>
        <v/>
      </c>
      <c r="Q268" s="47"/>
      <c r="R268" s="47"/>
      <c r="S268" s="47"/>
      <c r="T268" s="47"/>
    </row>
    <row r="269" spans="1:20" ht="15" customHeight="1" x14ac:dyDescent="0.25">
      <c r="A269" s="47"/>
      <c r="B269" s="47"/>
      <c r="C269" s="46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8" t="str">
        <f t="shared" si="8"/>
        <v/>
      </c>
      <c r="P269" s="47" t="str">
        <f t="shared" si="9"/>
        <v/>
      </c>
      <c r="Q269" s="47"/>
      <c r="R269" s="47"/>
      <c r="S269" s="47"/>
      <c r="T269" s="47"/>
    </row>
    <row r="270" spans="1:20" ht="15" customHeight="1" x14ac:dyDescent="0.25">
      <c r="A270" s="47"/>
      <c r="B270" s="47"/>
      <c r="C270" s="46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8" t="str">
        <f t="shared" si="8"/>
        <v/>
      </c>
      <c r="P270" s="47" t="str">
        <f t="shared" si="9"/>
        <v/>
      </c>
      <c r="Q270" s="47"/>
      <c r="R270" s="47"/>
      <c r="S270" s="47"/>
      <c r="T270" s="47"/>
    </row>
    <row r="271" spans="1:20" ht="15" customHeight="1" x14ac:dyDescent="0.25">
      <c r="A271" s="47"/>
      <c r="B271" s="47"/>
      <c r="C271" s="46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8" t="str">
        <f t="shared" si="8"/>
        <v/>
      </c>
      <c r="P271" s="47" t="str">
        <f t="shared" si="9"/>
        <v/>
      </c>
      <c r="Q271" s="47"/>
      <c r="R271" s="47"/>
      <c r="S271" s="47"/>
      <c r="T271" s="47"/>
    </row>
    <row r="272" spans="1:20" ht="15" customHeight="1" x14ac:dyDescent="0.25">
      <c r="A272" s="47"/>
      <c r="B272" s="47"/>
      <c r="C272" s="46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8" t="str">
        <f t="shared" si="8"/>
        <v/>
      </c>
      <c r="P272" s="47" t="str">
        <f t="shared" si="9"/>
        <v/>
      </c>
      <c r="Q272" s="47"/>
      <c r="R272" s="47"/>
      <c r="S272" s="47"/>
      <c r="T272" s="47"/>
    </row>
    <row r="273" spans="1:20" ht="15" customHeight="1" x14ac:dyDescent="0.25">
      <c r="A273" s="47"/>
      <c r="B273" s="47"/>
      <c r="C273" s="46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8" t="str">
        <f t="shared" si="8"/>
        <v/>
      </c>
      <c r="P273" s="47" t="str">
        <f t="shared" si="9"/>
        <v/>
      </c>
      <c r="Q273" s="47"/>
      <c r="R273" s="47"/>
      <c r="S273" s="47"/>
      <c r="T273" s="47"/>
    </row>
    <row r="274" spans="1:20" ht="15" customHeight="1" x14ac:dyDescent="0.25">
      <c r="A274" s="47"/>
      <c r="B274" s="47"/>
      <c r="C274" s="46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8" t="str">
        <f t="shared" si="8"/>
        <v/>
      </c>
      <c r="P274" s="47" t="str">
        <f t="shared" si="9"/>
        <v/>
      </c>
      <c r="Q274" s="47"/>
      <c r="R274" s="47"/>
      <c r="S274" s="47"/>
      <c r="T274" s="47"/>
    </row>
    <row r="275" spans="1:20" ht="15" customHeight="1" x14ac:dyDescent="0.25">
      <c r="A275" s="47"/>
      <c r="B275" s="47"/>
      <c r="C275" s="46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8" t="str">
        <f t="shared" si="8"/>
        <v/>
      </c>
      <c r="P275" s="47" t="str">
        <f t="shared" si="9"/>
        <v/>
      </c>
      <c r="Q275" s="47"/>
      <c r="R275" s="47"/>
      <c r="S275" s="47"/>
      <c r="T275" s="47"/>
    </row>
    <row r="276" spans="1:20" ht="15" customHeight="1" x14ac:dyDescent="0.25">
      <c r="A276" s="47"/>
      <c r="B276" s="47"/>
      <c r="C276" s="46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8" t="str">
        <f t="shared" si="8"/>
        <v/>
      </c>
      <c r="P276" s="47" t="str">
        <f t="shared" si="9"/>
        <v/>
      </c>
      <c r="Q276" s="47"/>
      <c r="R276" s="47"/>
      <c r="S276" s="47"/>
      <c r="T276" s="47"/>
    </row>
    <row r="277" spans="1:20" ht="15" customHeight="1" x14ac:dyDescent="0.25">
      <c r="A277" s="47"/>
      <c r="B277" s="47"/>
      <c r="C277" s="46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8" t="str">
        <f t="shared" si="8"/>
        <v/>
      </c>
      <c r="P277" s="47" t="str">
        <f t="shared" si="9"/>
        <v/>
      </c>
      <c r="Q277" s="47"/>
      <c r="R277" s="47"/>
      <c r="S277" s="47"/>
      <c r="T277" s="47"/>
    </row>
    <row r="278" spans="1:20" ht="15" customHeight="1" x14ac:dyDescent="0.25">
      <c r="A278" s="47"/>
      <c r="B278" s="47"/>
      <c r="C278" s="46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8" t="str">
        <f t="shared" si="8"/>
        <v/>
      </c>
      <c r="P278" s="47" t="str">
        <f t="shared" si="9"/>
        <v/>
      </c>
      <c r="Q278" s="47"/>
      <c r="R278" s="47"/>
      <c r="S278" s="47"/>
      <c r="T278" s="47"/>
    </row>
    <row r="279" spans="1:20" ht="15" customHeight="1" x14ac:dyDescent="0.25">
      <c r="A279" s="47"/>
      <c r="B279" s="47"/>
      <c r="C279" s="46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8" t="str">
        <f t="shared" si="8"/>
        <v/>
      </c>
      <c r="P279" s="47" t="str">
        <f t="shared" si="9"/>
        <v/>
      </c>
      <c r="Q279" s="47"/>
      <c r="R279" s="47"/>
      <c r="S279" s="47"/>
      <c r="T279" s="47"/>
    </row>
    <row r="280" spans="1:20" ht="15" customHeight="1" x14ac:dyDescent="0.25">
      <c r="A280" s="47"/>
      <c r="B280" s="47"/>
      <c r="C280" s="46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8" t="str">
        <f t="shared" si="8"/>
        <v/>
      </c>
      <c r="P280" s="47" t="str">
        <f t="shared" si="9"/>
        <v/>
      </c>
      <c r="Q280" s="47"/>
      <c r="R280" s="47"/>
      <c r="S280" s="47"/>
      <c r="T280" s="47"/>
    </row>
    <row r="281" spans="1:20" ht="15" customHeight="1" x14ac:dyDescent="0.25">
      <c r="A281" s="47"/>
      <c r="B281" s="47"/>
      <c r="C281" s="46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8" t="str">
        <f t="shared" si="8"/>
        <v/>
      </c>
      <c r="P281" s="47" t="str">
        <f t="shared" si="9"/>
        <v/>
      </c>
      <c r="Q281" s="47"/>
      <c r="R281" s="47"/>
      <c r="S281" s="47"/>
      <c r="T281" s="47"/>
    </row>
    <row r="282" spans="1:20" ht="15" customHeight="1" x14ac:dyDescent="0.25">
      <c r="A282" s="47"/>
      <c r="B282" s="47"/>
      <c r="C282" s="46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8" t="str">
        <f t="shared" si="8"/>
        <v/>
      </c>
      <c r="P282" s="47" t="str">
        <f t="shared" si="9"/>
        <v/>
      </c>
      <c r="Q282" s="47"/>
      <c r="R282" s="47"/>
      <c r="S282" s="47"/>
      <c r="T282" s="47"/>
    </row>
    <row r="283" spans="1:20" ht="15" customHeight="1" x14ac:dyDescent="0.25">
      <c r="A283" s="47"/>
      <c r="B283" s="47"/>
      <c r="C283" s="46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8" t="str">
        <f t="shared" si="8"/>
        <v/>
      </c>
      <c r="P283" s="47" t="str">
        <f t="shared" si="9"/>
        <v/>
      </c>
      <c r="Q283" s="47"/>
      <c r="R283" s="47"/>
      <c r="S283" s="47"/>
      <c r="T283" s="47"/>
    </row>
    <row r="284" spans="1:20" ht="15" customHeight="1" x14ac:dyDescent="0.25">
      <c r="A284" s="47"/>
      <c r="B284" s="47"/>
      <c r="C284" s="46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8" t="str">
        <f t="shared" si="8"/>
        <v/>
      </c>
      <c r="P284" s="47" t="str">
        <f t="shared" si="9"/>
        <v/>
      </c>
      <c r="Q284" s="47"/>
      <c r="R284" s="47"/>
      <c r="S284" s="47"/>
      <c r="T284" s="47"/>
    </row>
    <row r="285" spans="1:20" ht="15" customHeight="1" x14ac:dyDescent="0.25">
      <c r="A285" s="47"/>
      <c r="B285" s="47"/>
      <c r="C285" s="46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8" t="str">
        <f t="shared" si="8"/>
        <v/>
      </c>
      <c r="P285" s="47" t="str">
        <f t="shared" si="9"/>
        <v/>
      </c>
      <c r="Q285" s="47"/>
      <c r="R285" s="47"/>
      <c r="S285" s="47"/>
      <c r="T285" s="47"/>
    </row>
    <row r="286" spans="1:20" ht="15" customHeight="1" x14ac:dyDescent="0.25">
      <c r="A286" s="47"/>
      <c r="B286" s="47"/>
      <c r="C286" s="46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8" t="str">
        <f t="shared" si="8"/>
        <v/>
      </c>
      <c r="P286" s="47" t="str">
        <f t="shared" si="9"/>
        <v/>
      </c>
      <c r="Q286" s="47"/>
      <c r="R286" s="47"/>
      <c r="S286" s="47"/>
      <c r="T286" s="47"/>
    </row>
    <row r="287" spans="1:20" ht="15" customHeight="1" x14ac:dyDescent="0.25">
      <c r="A287" s="47"/>
      <c r="B287" s="47"/>
      <c r="C287" s="46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8" t="str">
        <f t="shared" si="8"/>
        <v/>
      </c>
      <c r="P287" s="47" t="str">
        <f t="shared" si="9"/>
        <v/>
      </c>
      <c r="Q287" s="47"/>
      <c r="R287" s="47"/>
      <c r="S287" s="47"/>
      <c r="T287" s="47"/>
    </row>
    <row r="288" spans="1:20" ht="15" customHeight="1" x14ac:dyDescent="0.25">
      <c r="A288" s="47"/>
      <c r="B288" s="47"/>
      <c r="C288" s="46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8" t="str">
        <f t="shared" si="8"/>
        <v/>
      </c>
      <c r="P288" s="47" t="str">
        <f t="shared" si="9"/>
        <v/>
      </c>
      <c r="Q288" s="47"/>
      <c r="R288" s="47"/>
      <c r="S288" s="47"/>
      <c r="T288" s="47"/>
    </row>
    <row r="289" spans="1:20" ht="15" customHeight="1" x14ac:dyDescent="0.25">
      <c r="A289" s="47"/>
      <c r="B289" s="47"/>
      <c r="C289" s="46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8" t="str">
        <f t="shared" si="8"/>
        <v/>
      </c>
      <c r="P289" s="47" t="str">
        <f t="shared" si="9"/>
        <v/>
      </c>
      <c r="Q289" s="47"/>
      <c r="R289" s="47"/>
      <c r="S289" s="47"/>
      <c r="T289" s="47"/>
    </row>
    <row r="290" spans="1:20" ht="15" customHeight="1" x14ac:dyDescent="0.25">
      <c r="A290" s="47"/>
      <c r="B290" s="47"/>
      <c r="C290" s="46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8" t="str">
        <f t="shared" si="8"/>
        <v/>
      </c>
      <c r="P290" s="47" t="str">
        <f t="shared" si="9"/>
        <v/>
      </c>
      <c r="Q290" s="47"/>
      <c r="R290" s="47"/>
      <c r="S290" s="47"/>
      <c r="T290" s="47"/>
    </row>
    <row r="291" spans="1:20" ht="15" customHeight="1" x14ac:dyDescent="0.25">
      <c r="A291" s="47"/>
      <c r="B291" s="47"/>
      <c r="C291" s="46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8" t="str">
        <f t="shared" si="8"/>
        <v/>
      </c>
      <c r="P291" s="47" t="str">
        <f t="shared" si="9"/>
        <v/>
      </c>
      <c r="Q291" s="47"/>
      <c r="R291" s="47"/>
      <c r="S291" s="47"/>
      <c r="T291" s="47"/>
    </row>
    <row r="292" spans="1:20" ht="15" customHeight="1" x14ac:dyDescent="0.25">
      <c r="A292" s="47"/>
      <c r="B292" s="47"/>
      <c r="C292" s="46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8" t="str">
        <f t="shared" si="8"/>
        <v/>
      </c>
      <c r="P292" s="47" t="str">
        <f t="shared" si="9"/>
        <v/>
      </c>
      <c r="Q292" s="47"/>
      <c r="R292" s="47"/>
      <c r="S292" s="47"/>
      <c r="T292" s="47"/>
    </row>
    <row r="293" spans="1:20" ht="15" customHeight="1" x14ac:dyDescent="0.25">
      <c r="A293" s="47"/>
      <c r="B293" s="47"/>
      <c r="C293" s="46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8" t="str">
        <f t="shared" si="8"/>
        <v/>
      </c>
      <c r="P293" s="47" t="str">
        <f t="shared" si="9"/>
        <v/>
      </c>
      <c r="Q293" s="47"/>
      <c r="R293" s="47"/>
      <c r="S293" s="47"/>
      <c r="T293" s="47"/>
    </row>
    <row r="294" spans="1:20" ht="15" customHeight="1" x14ac:dyDescent="0.25">
      <c r="A294" s="47"/>
      <c r="B294" s="47"/>
      <c r="C294" s="46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8" t="str">
        <f t="shared" si="8"/>
        <v/>
      </c>
      <c r="P294" s="47" t="str">
        <f t="shared" si="9"/>
        <v/>
      </c>
      <c r="Q294" s="47"/>
      <c r="R294" s="47"/>
      <c r="S294" s="47"/>
      <c r="T294" s="47"/>
    </row>
    <row r="295" spans="1:20" ht="15" customHeight="1" x14ac:dyDescent="0.25">
      <c r="A295" s="47"/>
      <c r="B295" s="47"/>
      <c r="C295" s="46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8" t="str">
        <f t="shared" si="8"/>
        <v/>
      </c>
      <c r="P295" s="47" t="str">
        <f t="shared" si="9"/>
        <v/>
      </c>
      <c r="Q295" s="47"/>
      <c r="R295" s="47"/>
      <c r="S295" s="47"/>
      <c r="T295" s="47"/>
    </row>
    <row r="296" spans="1:20" ht="15" customHeight="1" x14ac:dyDescent="0.25">
      <c r="A296" s="47"/>
      <c r="B296" s="47"/>
      <c r="C296" s="46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8" t="str">
        <f t="shared" si="8"/>
        <v/>
      </c>
      <c r="P296" s="47" t="str">
        <f t="shared" si="9"/>
        <v/>
      </c>
      <c r="Q296" s="47"/>
      <c r="R296" s="47"/>
      <c r="S296" s="47"/>
      <c r="T296" s="47"/>
    </row>
    <row r="297" spans="1:20" ht="15" customHeight="1" x14ac:dyDescent="0.25">
      <c r="A297" s="47"/>
      <c r="B297" s="47"/>
      <c r="C297" s="46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8" t="str">
        <f t="shared" si="8"/>
        <v/>
      </c>
      <c r="P297" s="47" t="str">
        <f t="shared" si="9"/>
        <v/>
      </c>
      <c r="Q297" s="47"/>
      <c r="R297" s="47"/>
      <c r="S297" s="47"/>
      <c r="T297" s="47"/>
    </row>
    <row r="298" spans="1:20" ht="15" customHeight="1" x14ac:dyDescent="0.25">
      <c r="A298" s="47"/>
      <c r="B298" s="47"/>
      <c r="C298" s="46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8" t="str">
        <f t="shared" si="8"/>
        <v/>
      </c>
      <c r="P298" s="47" t="str">
        <f t="shared" si="9"/>
        <v/>
      </c>
      <c r="Q298" s="47"/>
      <c r="R298" s="47"/>
      <c r="S298" s="47"/>
      <c r="T298" s="47"/>
    </row>
    <row r="299" spans="1:20" ht="15" customHeight="1" x14ac:dyDescent="0.25">
      <c r="A299" s="47"/>
      <c r="B299" s="47"/>
      <c r="C299" s="46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8" t="str">
        <f t="shared" si="8"/>
        <v/>
      </c>
      <c r="P299" s="47" t="str">
        <f t="shared" si="9"/>
        <v/>
      </c>
      <c r="Q299" s="47"/>
      <c r="R299" s="47"/>
      <c r="S299" s="47"/>
      <c r="T299" s="47"/>
    </row>
    <row r="300" spans="1:20" ht="15" customHeight="1" x14ac:dyDescent="0.25">
      <c r="A300" s="47"/>
      <c r="B300" s="47"/>
      <c r="C300" s="46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8" t="str">
        <f t="shared" si="8"/>
        <v/>
      </c>
      <c r="P300" s="47" t="str">
        <f t="shared" si="9"/>
        <v/>
      </c>
      <c r="Q300" s="47"/>
      <c r="R300" s="47"/>
      <c r="S300" s="47"/>
      <c r="T300" s="47"/>
    </row>
  </sheetData>
  <mergeCells count="1">
    <mergeCell ref="A1:T3"/>
  </mergeCells>
  <conditionalFormatting sqref="P6:P300">
    <cfRule type="expression" dxfId="30" priority="2">
      <formula>$P6="Proficient"</formula>
    </cfRule>
    <cfRule type="expression" dxfId="29" priority="3">
      <formula>$P6="Nearly Proficient"</formula>
    </cfRule>
    <cfRule type="expression" dxfId="28" priority="4">
      <formula>$P6="Low Proficient"</formula>
    </cfRule>
  </conditionalFormatting>
  <conditionalFormatting sqref="T6:T300">
    <cfRule type="expression" dxfId="27" priority="5">
      <formula>$T6="For Checking"</formula>
    </cfRule>
    <cfRule type="expression" dxfId="26" priority="6">
      <formula>$T6="Submitted"</formula>
    </cfRule>
    <cfRule type="expression" dxfId="25" priority="7">
      <formula>$T6="Returned"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2" customWidth="1"/>
    <col min="3" max="3" width="28" customWidth="1"/>
    <col min="4" max="6" width="14" customWidth="1"/>
    <col min="7" max="7" width="18" customWidth="1"/>
    <col min="8" max="8" width="16" customWidth="1"/>
    <col min="9" max="9" width="14" customWidth="1"/>
    <col min="10" max="11" width="12" customWidth="1"/>
    <col min="12" max="12" width="10" customWidth="1"/>
    <col min="13" max="13" width="18" customWidth="1"/>
    <col min="14" max="14" width="14" customWidth="1"/>
    <col min="15" max="15" width="28" customWidth="1"/>
    <col min="16" max="16" width="30" customWidth="1"/>
    <col min="17" max="17" width="24" customWidth="1"/>
    <col min="18" max="18" width="55" customWidth="1"/>
    <col min="19" max="19" width="16" customWidth="1"/>
    <col min="20" max="20" width="26" customWidth="1"/>
  </cols>
  <sheetData>
    <row r="1" spans="1:20" ht="15" customHeight="1" x14ac:dyDescent="0.25">
      <c r="A1" s="128" t="s">
        <v>557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</row>
    <row r="2" spans="1:20" ht="15" customHeight="1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</row>
    <row r="4" spans="1:20" ht="23.25" customHeight="1" x14ac:dyDescent="0.25">
      <c r="A4" s="86" t="s">
        <v>522</v>
      </c>
      <c r="B4" s="86" t="s">
        <v>523</v>
      </c>
      <c r="C4" s="86" t="s">
        <v>524</v>
      </c>
      <c r="D4" s="86" t="s">
        <v>99</v>
      </c>
      <c r="E4" s="86" t="s">
        <v>100</v>
      </c>
      <c r="F4" s="86" t="s">
        <v>507</v>
      </c>
      <c r="G4" s="86" t="s">
        <v>526</v>
      </c>
      <c r="H4" s="86" t="s">
        <v>3</v>
      </c>
      <c r="I4" s="86" t="s">
        <v>558</v>
      </c>
      <c r="J4" s="86" t="s">
        <v>528</v>
      </c>
      <c r="K4" s="86" t="s">
        <v>559</v>
      </c>
      <c r="L4" s="86" t="s">
        <v>4</v>
      </c>
      <c r="M4" s="86" t="s">
        <v>530</v>
      </c>
      <c r="N4" s="86" t="s">
        <v>560</v>
      </c>
      <c r="O4" s="86" t="s">
        <v>561</v>
      </c>
      <c r="P4" s="86" t="s">
        <v>562</v>
      </c>
      <c r="Q4" s="86" t="s">
        <v>531</v>
      </c>
      <c r="R4" s="86" t="s">
        <v>532</v>
      </c>
      <c r="S4" s="86" t="s">
        <v>56</v>
      </c>
      <c r="T4" s="86" t="s">
        <v>59</v>
      </c>
    </row>
    <row r="5" spans="1:20" ht="34.5" customHeight="1" x14ac:dyDescent="0.25">
      <c r="A5" s="47">
        <v>1001</v>
      </c>
      <c r="B5" s="46">
        <v>46230.388888888898</v>
      </c>
      <c r="C5" s="47" t="s">
        <v>107</v>
      </c>
      <c r="D5" s="47" t="s">
        <v>12</v>
      </c>
      <c r="E5" s="47" t="s">
        <v>106</v>
      </c>
      <c r="F5" s="47" t="s">
        <v>16</v>
      </c>
      <c r="G5" s="47" t="s">
        <v>534</v>
      </c>
      <c r="H5" s="47" t="s">
        <v>8</v>
      </c>
      <c r="I5" s="47">
        <v>20</v>
      </c>
      <c r="J5" s="47">
        <v>50</v>
      </c>
      <c r="K5" s="47">
        <v>36</v>
      </c>
      <c r="L5" s="48">
        <f>IFERROR(K5/J5,0)</f>
        <v>0.72</v>
      </c>
      <c r="M5" s="47" t="str">
        <f>IF(L5&gt;=0.75,"Proficient",IF(L5&gt;=0.5,"Nearly Proficient",IF(L5&gt;=0.25,"Low Proficient","Not Proficient")))</f>
        <v>Nearly Proficient</v>
      </c>
      <c r="N5" s="47" t="s">
        <v>563</v>
      </c>
      <c r="O5" s="47" t="s">
        <v>564</v>
      </c>
      <c r="P5" s="47" t="s">
        <v>70</v>
      </c>
      <c r="Q5" s="47" t="s">
        <v>565</v>
      </c>
      <c r="R5" s="47" t="s">
        <v>566</v>
      </c>
      <c r="S5" s="47" t="s">
        <v>40</v>
      </c>
      <c r="T5" s="47" t="s">
        <v>567</v>
      </c>
    </row>
    <row r="6" spans="1:20" ht="34.5" customHeight="1" x14ac:dyDescent="0.25">
      <c r="A6" s="47">
        <v>1002</v>
      </c>
      <c r="B6" s="46">
        <v>46230.423611111102</v>
      </c>
      <c r="C6" s="47" t="s">
        <v>109</v>
      </c>
      <c r="D6" s="47" t="s">
        <v>23</v>
      </c>
      <c r="E6" s="47" t="s">
        <v>108</v>
      </c>
      <c r="F6" s="47" t="s">
        <v>16</v>
      </c>
      <c r="G6" s="47" t="s">
        <v>543</v>
      </c>
      <c r="H6" s="47" t="s">
        <v>22</v>
      </c>
      <c r="I6" s="47">
        <v>20</v>
      </c>
      <c r="J6" s="47">
        <v>40</v>
      </c>
      <c r="K6" s="47">
        <v>21</v>
      </c>
      <c r="L6" s="48">
        <f>IFERROR(K6/J6,0)</f>
        <v>0.52500000000000002</v>
      </c>
      <c r="M6" s="47" t="str">
        <f>IF(L6&gt;=0.75,"Proficient",IF(L6&gt;=0.5,"Nearly Proficient",IF(L6&gt;=0.25,"Low Proficient","Not Proficient")))</f>
        <v>Nearly Proficient</v>
      </c>
      <c r="N6" s="47" t="s">
        <v>568</v>
      </c>
      <c r="O6" s="47" t="s">
        <v>569</v>
      </c>
      <c r="P6" s="47" t="s">
        <v>67</v>
      </c>
      <c r="Q6" s="47" t="s">
        <v>570</v>
      </c>
      <c r="R6" s="47" t="s">
        <v>571</v>
      </c>
      <c r="S6" s="47" t="s">
        <v>40</v>
      </c>
      <c r="T6" s="47" t="s">
        <v>567</v>
      </c>
    </row>
    <row r="7" spans="1:20" ht="34.5" customHeight="1" x14ac:dyDescent="0.25">
      <c r="A7" s="47">
        <v>1003</v>
      </c>
      <c r="B7" s="46">
        <v>46230.479166666701</v>
      </c>
      <c r="C7" s="47" t="s">
        <v>111</v>
      </c>
      <c r="D7" s="47" t="s">
        <v>26</v>
      </c>
      <c r="E7" s="47" t="s">
        <v>110</v>
      </c>
      <c r="F7" s="47" t="s">
        <v>16</v>
      </c>
      <c r="G7" s="47" t="s">
        <v>572</v>
      </c>
      <c r="H7" s="47" t="s">
        <v>11</v>
      </c>
      <c r="I7" s="47">
        <v>20</v>
      </c>
      <c r="J7" s="47">
        <v>30</v>
      </c>
      <c r="K7" s="47">
        <v>24</v>
      </c>
      <c r="L7" s="48">
        <f>IFERROR(K7/J7,0)</f>
        <v>0.8</v>
      </c>
      <c r="M7" s="47" t="str">
        <f>IF(L7&gt;=0.75,"Proficient",IF(L7&gt;=0.5,"Nearly Proficient",IF(L7&gt;=0.25,"Low Proficient","Not Proficient")))</f>
        <v>Proficient</v>
      </c>
      <c r="N7" s="47" t="s">
        <v>573</v>
      </c>
      <c r="O7" s="47" t="s">
        <v>574</v>
      </c>
      <c r="P7" s="47" t="s">
        <v>575</v>
      </c>
      <c r="Q7" s="47" t="s">
        <v>576</v>
      </c>
      <c r="R7" s="47" t="s">
        <v>577</v>
      </c>
      <c r="S7" s="47" t="s">
        <v>21</v>
      </c>
      <c r="T7" s="47" t="s">
        <v>567</v>
      </c>
    </row>
    <row r="8" spans="1:20" ht="15" customHeight="1" x14ac:dyDescent="0.25">
      <c r="A8" s="47"/>
      <c r="B8" s="46"/>
      <c r="C8" s="47"/>
      <c r="D8" s="47"/>
      <c r="E8" s="47"/>
      <c r="F8" s="47"/>
      <c r="G8" s="47"/>
      <c r="H8" s="47"/>
      <c r="I8" s="47"/>
      <c r="J8" s="47"/>
      <c r="K8" s="47"/>
      <c r="L8" s="48" t="str">
        <f t="shared" ref="L8:L54" si="0">IFERROR(K8/J8,"")</f>
        <v/>
      </c>
      <c r="M8" s="47" t="str">
        <f t="shared" ref="M8:M54" si="1">IF(L8="","",IF(L8&gt;=0.75,"Proficient",IF(L8&gt;=0.5,"Nearly Proficient",IF(L8&gt;=0.25,"Low Proficient","Not Proficient"))))</f>
        <v/>
      </c>
      <c r="N8" s="47"/>
      <c r="O8" s="47"/>
      <c r="P8" s="47"/>
      <c r="Q8" s="47"/>
      <c r="R8" s="47"/>
      <c r="S8" s="47"/>
      <c r="T8" s="47"/>
    </row>
    <row r="9" spans="1:20" ht="15" customHeight="1" x14ac:dyDescent="0.25">
      <c r="A9" s="47"/>
      <c r="B9" s="46"/>
      <c r="C9" s="47"/>
      <c r="D9" s="47"/>
      <c r="E9" s="47"/>
      <c r="F9" s="47"/>
      <c r="G9" s="47"/>
      <c r="H9" s="47"/>
      <c r="I9" s="47"/>
      <c r="J9" s="47"/>
      <c r="K9" s="47"/>
      <c r="L9" s="48" t="str">
        <f t="shared" si="0"/>
        <v/>
      </c>
      <c r="M9" s="47" t="str">
        <f t="shared" si="1"/>
        <v/>
      </c>
      <c r="N9" s="47"/>
      <c r="O9" s="47"/>
      <c r="P9" s="47"/>
      <c r="Q9" s="47"/>
      <c r="R9" s="47"/>
      <c r="S9" s="47"/>
      <c r="T9" s="47"/>
    </row>
    <row r="10" spans="1:20" ht="15" customHeight="1" x14ac:dyDescent="0.25">
      <c r="A10" s="47"/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8" t="str">
        <f t="shared" si="0"/>
        <v/>
      </c>
      <c r="M10" s="47" t="str">
        <f t="shared" si="1"/>
        <v/>
      </c>
      <c r="N10" s="47"/>
      <c r="O10" s="47"/>
      <c r="P10" s="47"/>
      <c r="Q10" s="47"/>
      <c r="R10" s="47"/>
      <c r="S10" s="47"/>
      <c r="T10" s="47"/>
    </row>
    <row r="11" spans="1:20" ht="15" customHeight="1" x14ac:dyDescent="0.25">
      <c r="A11" s="47"/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8" t="str">
        <f t="shared" si="0"/>
        <v/>
      </c>
      <c r="M11" s="47" t="str">
        <f t="shared" si="1"/>
        <v/>
      </c>
      <c r="N11" s="47"/>
      <c r="O11" s="47"/>
      <c r="P11" s="47"/>
      <c r="Q11" s="47"/>
      <c r="R11" s="47"/>
      <c r="S11" s="47"/>
      <c r="T11" s="47"/>
    </row>
    <row r="12" spans="1:20" ht="15" customHeight="1" x14ac:dyDescent="0.25">
      <c r="A12" s="47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8" t="str">
        <f t="shared" si="0"/>
        <v/>
      </c>
      <c r="M12" s="47" t="str">
        <f t="shared" si="1"/>
        <v/>
      </c>
      <c r="N12" s="47"/>
      <c r="O12" s="47"/>
      <c r="P12" s="47"/>
      <c r="Q12" s="47"/>
      <c r="R12" s="47"/>
      <c r="S12" s="47"/>
      <c r="T12" s="47"/>
    </row>
    <row r="13" spans="1:20" ht="15" customHeight="1" x14ac:dyDescent="0.25">
      <c r="A13" s="47"/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8" t="str">
        <f t="shared" si="0"/>
        <v/>
      </c>
      <c r="M13" s="47" t="str">
        <f t="shared" si="1"/>
        <v/>
      </c>
      <c r="N13" s="47"/>
      <c r="O13" s="47"/>
      <c r="P13" s="47"/>
      <c r="Q13" s="47"/>
      <c r="R13" s="47"/>
      <c r="S13" s="47"/>
      <c r="T13" s="47"/>
    </row>
    <row r="14" spans="1:20" ht="15" customHeight="1" x14ac:dyDescent="0.25">
      <c r="A14" s="47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 t="str">
        <f t="shared" si="0"/>
        <v/>
      </c>
      <c r="M14" s="47" t="str">
        <f t="shared" si="1"/>
        <v/>
      </c>
      <c r="N14" s="47"/>
      <c r="O14" s="47"/>
      <c r="P14" s="47"/>
      <c r="Q14" s="47"/>
      <c r="R14" s="47"/>
      <c r="S14" s="47"/>
      <c r="T14" s="47"/>
    </row>
    <row r="15" spans="1:20" ht="15" customHeight="1" x14ac:dyDescent="0.25">
      <c r="A15" s="47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8" t="str">
        <f t="shared" si="0"/>
        <v/>
      </c>
      <c r="M15" s="47" t="str">
        <f t="shared" si="1"/>
        <v/>
      </c>
      <c r="N15" s="47"/>
      <c r="O15" s="47"/>
      <c r="P15" s="47"/>
      <c r="Q15" s="47"/>
      <c r="R15" s="47"/>
      <c r="S15" s="47"/>
      <c r="T15" s="47"/>
    </row>
    <row r="16" spans="1:20" ht="15" customHeight="1" x14ac:dyDescent="0.25">
      <c r="A16" s="47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8" t="str">
        <f t="shared" si="0"/>
        <v/>
      </c>
      <c r="M16" s="47" t="str">
        <f t="shared" si="1"/>
        <v/>
      </c>
      <c r="N16" s="47"/>
      <c r="O16" s="47"/>
      <c r="P16" s="47"/>
      <c r="Q16" s="47"/>
      <c r="R16" s="47"/>
      <c r="S16" s="47"/>
      <c r="T16" s="47"/>
    </row>
    <row r="17" spans="1:20" ht="15" customHeight="1" x14ac:dyDescent="0.25">
      <c r="A17" s="47"/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8" t="str">
        <f t="shared" si="0"/>
        <v/>
      </c>
      <c r="M17" s="47" t="str">
        <f t="shared" si="1"/>
        <v/>
      </c>
      <c r="N17" s="47"/>
      <c r="O17" s="47"/>
      <c r="P17" s="47"/>
      <c r="Q17" s="47"/>
      <c r="R17" s="47"/>
      <c r="S17" s="47"/>
      <c r="T17" s="47"/>
    </row>
    <row r="18" spans="1:20" ht="15" customHeight="1" x14ac:dyDescent="0.25">
      <c r="A18" s="47"/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8" t="str">
        <f t="shared" si="0"/>
        <v/>
      </c>
      <c r="M18" s="47" t="str">
        <f t="shared" si="1"/>
        <v/>
      </c>
      <c r="N18" s="47"/>
      <c r="O18" s="47"/>
      <c r="P18" s="47"/>
      <c r="Q18" s="47"/>
      <c r="R18" s="47"/>
      <c r="S18" s="47"/>
      <c r="T18" s="47"/>
    </row>
    <row r="19" spans="1:20" ht="15" customHeight="1" x14ac:dyDescent="0.25">
      <c r="A19" s="47"/>
      <c r="B19" s="46"/>
      <c r="C19" s="47"/>
      <c r="D19" s="47"/>
      <c r="E19" s="47"/>
      <c r="F19" s="47"/>
      <c r="G19" s="47"/>
      <c r="H19" s="47"/>
      <c r="I19" s="47"/>
      <c r="J19" s="47"/>
      <c r="K19" s="47"/>
      <c r="L19" s="48" t="str">
        <f t="shared" si="0"/>
        <v/>
      </c>
      <c r="M19" s="47" t="str">
        <f t="shared" si="1"/>
        <v/>
      </c>
      <c r="N19" s="47"/>
      <c r="O19" s="47"/>
      <c r="P19" s="47"/>
      <c r="Q19" s="47"/>
      <c r="R19" s="47"/>
      <c r="S19" s="47"/>
      <c r="T19" s="47"/>
    </row>
    <row r="20" spans="1:20" ht="15" customHeight="1" x14ac:dyDescent="0.25">
      <c r="A20" s="47"/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8" t="str">
        <f t="shared" si="0"/>
        <v/>
      </c>
      <c r="M20" s="47" t="str">
        <f t="shared" si="1"/>
        <v/>
      </c>
      <c r="N20" s="47"/>
      <c r="O20" s="47"/>
      <c r="P20" s="47"/>
      <c r="Q20" s="47"/>
      <c r="R20" s="47"/>
      <c r="S20" s="47"/>
      <c r="T20" s="47"/>
    </row>
    <row r="21" spans="1:20" ht="15" customHeight="1" x14ac:dyDescent="0.25">
      <c r="A21" s="47"/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8" t="str">
        <f t="shared" si="0"/>
        <v/>
      </c>
      <c r="M21" s="47" t="str">
        <f t="shared" si="1"/>
        <v/>
      </c>
      <c r="N21" s="47"/>
      <c r="O21" s="47"/>
      <c r="P21" s="47"/>
      <c r="Q21" s="47"/>
      <c r="R21" s="47"/>
      <c r="S21" s="47"/>
      <c r="T21" s="47"/>
    </row>
    <row r="22" spans="1:20" ht="15" customHeight="1" x14ac:dyDescent="0.25">
      <c r="A22" s="47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 t="str">
        <f t="shared" si="0"/>
        <v/>
      </c>
      <c r="M22" s="47" t="str">
        <f t="shared" si="1"/>
        <v/>
      </c>
      <c r="N22" s="47"/>
      <c r="O22" s="47"/>
      <c r="P22" s="47"/>
      <c r="Q22" s="47"/>
      <c r="R22" s="47"/>
      <c r="S22" s="47"/>
      <c r="T22" s="47"/>
    </row>
    <row r="23" spans="1:20" ht="15" customHeight="1" x14ac:dyDescent="0.25">
      <c r="A23" s="47"/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8" t="str">
        <f t="shared" si="0"/>
        <v/>
      </c>
      <c r="M23" s="47" t="str">
        <f t="shared" si="1"/>
        <v/>
      </c>
      <c r="N23" s="47"/>
      <c r="O23" s="47"/>
      <c r="P23" s="47"/>
      <c r="Q23" s="47"/>
      <c r="R23" s="47"/>
      <c r="S23" s="47"/>
      <c r="T23" s="47"/>
    </row>
    <row r="24" spans="1:20" ht="15" customHeight="1" x14ac:dyDescent="0.25">
      <c r="A24" s="47"/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8" t="str">
        <f t="shared" si="0"/>
        <v/>
      </c>
      <c r="M24" s="47" t="str">
        <f t="shared" si="1"/>
        <v/>
      </c>
      <c r="N24" s="47"/>
      <c r="O24" s="47"/>
      <c r="P24" s="47"/>
      <c r="Q24" s="47"/>
      <c r="R24" s="47"/>
      <c r="S24" s="47"/>
      <c r="T24" s="47"/>
    </row>
    <row r="25" spans="1:20" ht="15" customHeight="1" x14ac:dyDescent="0.25">
      <c r="A25" s="47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8" t="str">
        <f t="shared" si="0"/>
        <v/>
      </c>
      <c r="M25" s="47" t="str">
        <f t="shared" si="1"/>
        <v/>
      </c>
      <c r="N25" s="47"/>
      <c r="O25" s="47"/>
      <c r="P25" s="47"/>
      <c r="Q25" s="47"/>
      <c r="R25" s="47"/>
      <c r="S25" s="47"/>
      <c r="T25" s="47"/>
    </row>
    <row r="26" spans="1:20" ht="15" customHeight="1" x14ac:dyDescent="0.25">
      <c r="A26" s="47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8" t="str">
        <f t="shared" si="0"/>
        <v/>
      </c>
      <c r="M26" s="47" t="str">
        <f t="shared" si="1"/>
        <v/>
      </c>
      <c r="N26" s="47"/>
      <c r="O26" s="47"/>
      <c r="P26" s="47"/>
      <c r="Q26" s="47"/>
      <c r="R26" s="47"/>
      <c r="S26" s="47"/>
      <c r="T26" s="47"/>
    </row>
    <row r="27" spans="1:20" ht="15" customHeight="1" x14ac:dyDescent="0.25">
      <c r="A27" s="47"/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8" t="str">
        <f t="shared" si="0"/>
        <v/>
      </c>
      <c r="M27" s="47" t="str">
        <f t="shared" si="1"/>
        <v/>
      </c>
      <c r="N27" s="47"/>
      <c r="O27" s="47"/>
      <c r="P27" s="47"/>
      <c r="Q27" s="47"/>
      <c r="R27" s="47"/>
      <c r="S27" s="47"/>
      <c r="T27" s="47"/>
    </row>
    <row r="28" spans="1:20" ht="15" customHeight="1" x14ac:dyDescent="0.25">
      <c r="A28" s="47"/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8" t="str">
        <f t="shared" si="0"/>
        <v/>
      </c>
      <c r="M28" s="47" t="str">
        <f t="shared" si="1"/>
        <v/>
      </c>
      <c r="N28" s="47"/>
      <c r="O28" s="47"/>
      <c r="P28" s="47"/>
      <c r="Q28" s="47"/>
      <c r="R28" s="47"/>
      <c r="S28" s="47"/>
      <c r="T28" s="47"/>
    </row>
    <row r="29" spans="1:20" ht="15" customHeight="1" x14ac:dyDescent="0.25">
      <c r="A29" s="47"/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8" t="str">
        <f t="shared" si="0"/>
        <v/>
      </c>
      <c r="M29" s="47" t="str">
        <f t="shared" si="1"/>
        <v/>
      </c>
      <c r="N29" s="47"/>
      <c r="O29" s="47"/>
      <c r="P29" s="47"/>
      <c r="Q29" s="47"/>
      <c r="R29" s="47"/>
      <c r="S29" s="47"/>
      <c r="T29" s="47"/>
    </row>
    <row r="30" spans="1:20" ht="15" customHeight="1" x14ac:dyDescent="0.25">
      <c r="A30" s="47"/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8" t="str">
        <f t="shared" si="0"/>
        <v/>
      </c>
      <c r="M30" s="47" t="str">
        <f t="shared" si="1"/>
        <v/>
      </c>
      <c r="N30" s="47"/>
      <c r="O30" s="47"/>
      <c r="P30" s="47"/>
      <c r="Q30" s="47"/>
      <c r="R30" s="47"/>
      <c r="S30" s="47"/>
      <c r="T30" s="47"/>
    </row>
    <row r="31" spans="1:20" ht="15" customHeight="1" x14ac:dyDescent="0.25">
      <c r="A31" s="47"/>
      <c r="B31" s="46"/>
      <c r="C31" s="47"/>
      <c r="D31" s="47"/>
      <c r="E31" s="47"/>
      <c r="F31" s="47"/>
      <c r="G31" s="47"/>
      <c r="H31" s="47"/>
      <c r="I31" s="47"/>
      <c r="J31" s="47"/>
      <c r="K31" s="47"/>
      <c r="L31" s="48" t="str">
        <f t="shared" si="0"/>
        <v/>
      </c>
      <c r="M31" s="47" t="str">
        <f t="shared" si="1"/>
        <v/>
      </c>
      <c r="N31" s="47"/>
      <c r="O31" s="47"/>
      <c r="P31" s="47"/>
      <c r="Q31" s="47"/>
      <c r="R31" s="47"/>
      <c r="S31" s="47"/>
      <c r="T31" s="47"/>
    </row>
    <row r="32" spans="1:20" ht="15" customHeight="1" x14ac:dyDescent="0.25">
      <c r="A32" s="47"/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8" t="str">
        <f t="shared" si="0"/>
        <v/>
      </c>
      <c r="M32" s="47" t="str">
        <f t="shared" si="1"/>
        <v/>
      </c>
      <c r="N32" s="47"/>
      <c r="O32" s="47"/>
      <c r="P32" s="47"/>
      <c r="Q32" s="47"/>
      <c r="R32" s="47"/>
      <c r="S32" s="47"/>
      <c r="T32" s="47"/>
    </row>
    <row r="33" spans="1:20" ht="15" customHeight="1" x14ac:dyDescent="0.25">
      <c r="A33" s="47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8" t="str">
        <f t="shared" si="0"/>
        <v/>
      </c>
      <c r="M33" s="47" t="str">
        <f t="shared" si="1"/>
        <v/>
      </c>
      <c r="N33" s="47"/>
      <c r="O33" s="47"/>
      <c r="P33" s="47"/>
      <c r="Q33" s="47"/>
      <c r="R33" s="47"/>
      <c r="S33" s="47"/>
      <c r="T33" s="47"/>
    </row>
    <row r="34" spans="1:20" ht="15" customHeight="1" x14ac:dyDescent="0.25">
      <c r="A34" s="47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8" t="str">
        <f t="shared" si="0"/>
        <v/>
      </c>
      <c r="M34" s="47" t="str">
        <f t="shared" si="1"/>
        <v/>
      </c>
      <c r="N34" s="47"/>
      <c r="O34" s="47"/>
      <c r="P34" s="47"/>
      <c r="Q34" s="47"/>
      <c r="R34" s="47"/>
      <c r="S34" s="47"/>
      <c r="T34" s="47"/>
    </row>
    <row r="35" spans="1:20" ht="15" customHeight="1" x14ac:dyDescent="0.25">
      <c r="A35" s="47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8" t="str">
        <f t="shared" si="0"/>
        <v/>
      </c>
      <c r="M35" s="47" t="str">
        <f t="shared" si="1"/>
        <v/>
      </c>
      <c r="N35" s="47"/>
      <c r="O35" s="47"/>
      <c r="P35" s="47"/>
      <c r="Q35" s="47"/>
      <c r="R35" s="47"/>
      <c r="S35" s="47"/>
      <c r="T35" s="47"/>
    </row>
    <row r="36" spans="1:20" ht="15" customHeight="1" x14ac:dyDescent="0.25">
      <c r="A36" s="47"/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8" t="str">
        <f t="shared" si="0"/>
        <v/>
      </c>
      <c r="M36" s="47" t="str">
        <f t="shared" si="1"/>
        <v/>
      </c>
      <c r="N36" s="47"/>
      <c r="O36" s="47"/>
      <c r="P36" s="47"/>
      <c r="Q36" s="47"/>
      <c r="R36" s="47"/>
      <c r="S36" s="47"/>
      <c r="T36" s="47"/>
    </row>
    <row r="37" spans="1:20" ht="15" customHeight="1" x14ac:dyDescent="0.25">
      <c r="A37" s="47"/>
      <c r="B37" s="46"/>
      <c r="C37" s="47"/>
      <c r="D37" s="47"/>
      <c r="E37" s="47"/>
      <c r="F37" s="47"/>
      <c r="G37" s="47"/>
      <c r="H37" s="47"/>
      <c r="I37" s="47"/>
      <c r="J37" s="47"/>
      <c r="K37" s="47"/>
      <c r="L37" s="48" t="str">
        <f t="shared" si="0"/>
        <v/>
      </c>
      <c r="M37" s="47" t="str">
        <f t="shared" si="1"/>
        <v/>
      </c>
      <c r="N37" s="47"/>
      <c r="O37" s="47"/>
      <c r="P37" s="47"/>
      <c r="Q37" s="47"/>
      <c r="R37" s="47"/>
      <c r="S37" s="47"/>
      <c r="T37" s="47"/>
    </row>
    <row r="38" spans="1:20" ht="15" customHeight="1" x14ac:dyDescent="0.25">
      <c r="A38" s="47"/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8" t="str">
        <f t="shared" si="0"/>
        <v/>
      </c>
      <c r="M38" s="47" t="str">
        <f t="shared" si="1"/>
        <v/>
      </c>
      <c r="N38" s="47"/>
      <c r="O38" s="47"/>
      <c r="P38" s="47"/>
      <c r="Q38" s="47"/>
      <c r="R38" s="47"/>
      <c r="S38" s="47"/>
      <c r="T38" s="47"/>
    </row>
    <row r="39" spans="1:20" ht="15" customHeight="1" x14ac:dyDescent="0.25">
      <c r="A39" s="47"/>
      <c r="B39" s="46"/>
      <c r="C39" s="47"/>
      <c r="D39" s="47"/>
      <c r="E39" s="47"/>
      <c r="F39" s="47"/>
      <c r="G39" s="47"/>
      <c r="H39" s="47"/>
      <c r="I39" s="47"/>
      <c r="J39" s="47"/>
      <c r="K39" s="47"/>
      <c r="L39" s="48" t="str">
        <f t="shared" si="0"/>
        <v/>
      </c>
      <c r="M39" s="47" t="str">
        <f t="shared" si="1"/>
        <v/>
      </c>
      <c r="N39" s="47"/>
      <c r="O39" s="47"/>
      <c r="P39" s="47"/>
      <c r="Q39" s="47"/>
      <c r="R39" s="47"/>
      <c r="S39" s="47"/>
      <c r="T39" s="47"/>
    </row>
    <row r="40" spans="1:20" ht="15" customHeight="1" x14ac:dyDescent="0.25">
      <c r="A40" s="47"/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8" t="str">
        <f t="shared" si="0"/>
        <v/>
      </c>
      <c r="M40" s="47" t="str">
        <f t="shared" si="1"/>
        <v/>
      </c>
      <c r="N40" s="47"/>
      <c r="O40" s="47"/>
      <c r="P40" s="47"/>
      <c r="Q40" s="47"/>
      <c r="R40" s="47"/>
      <c r="S40" s="47"/>
      <c r="T40" s="47"/>
    </row>
    <row r="41" spans="1:20" ht="15" customHeight="1" x14ac:dyDescent="0.25">
      <c r="A41" s="47"/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8" t="str">
        <f t="shared" si="0"/>
        <v/>
      </c>
      <c r="M41" s="47" t="str">
        <f t="shared" si="1"/>
        <v/>
      </c>
      <c r="N41" s="47"/>
      <c r="O41" s="47"/>
      <c r="P41" s="47"/>
      <c r="Q41" s="47"/>
      <c r="R41" s="47"/>
      <c r="S41" s="47"/>
      <c r="T41" s="47"/>
    </row>
    <row r="42" spans="1:20" ht="15" customHeight="1" x14ac:dyDescent="0.25">
      <c r="A42" s="47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8" t="str">
        <f t="shared" si="0"/>
        <v/>
      </c>
      <c r="M42" s="47" t="str">
        <f t="shared" si="1"/>
        <v/>
      </c>
      <c r="N42" s="47"/>
      <c r="O42" s="47"/>
      <c r="P42" s="47"/>
      <c r="Q42" s="47"/>
      <c r="R42" s="47"/>
      <c r="S42" s="47"/>
      <c r="T42" s="47"/>
    </row>
    <row r="43" spans="1:20" ht="15" customHeight="1" x14ac:dyDescent="0.25">
      <c r="A43" s="47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8" t="str">
        <f t="shared" si="0"/>
        <v/>
      </c>
      <c r="M43" s="47" t="str">
        <f t="shared" si="1"/>
        <v/>
      </c>
      <c r="N43" s="47"/>
      <c r="O43" s="47"/>
      <c r="P43" s="47"/>
      <c r="Q43" s="47"/>
      <c r="R43" s="47"/>
      <c r="S43" s="47"/>
      <c r="T43" s="47"/>
    </row>
    <row r="44" spans="1:20" ht="15" customHeight="1" x14ac:dyDescent="0.25">
      <c r="A44" s="47"/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8" t="str">
        <f t="shared" si="0"/>
        <v/>
      </c>
      <c r="M44" s="47" t="str">
        <f t="shared" si="1"/>
        <v/>
      </c>
      <c r="N44" s="47"/>
      <c r="O44" s="47"/>
      <c r="P44" s="47"/>
      <c r="Q44" s="47"/>
      <c r="R44" s="47"/>
      <c r="S44" s="47"/>
      <c r="T44" s="47"/>
    </row>
    <row r="45" spans="1:20" ht="15" customHeight="1" x14ac:dyDescent="0.25">
      <c r="A45" s="47"/>
      <c r="B45" s="46"/>
      <c r="C45" s="47"/>
      <c r="D45" s="47"/>
      <c r="E45" s="47"/>
      <c r="F45" s="47"/>
      <c r="G45" s="47"/>
      <c r="H45" s="47"/>
      <c r="I45" s="47"/>
      <c r="J45" s="47"/>
      <c r="K45" s="47"/>
      <c r="L45" s="48" t="str">
        <f t="shared" si="0"/>
        <v/>
      </c>
      <c r="M45" s="47" t="str">
        <f t="shared" si="1"/>
        <v/>
      </c>
      <c r="N45" s="47"/>
      <c r="O45" s="47"/>
      <c r="P45" s="47"/>
      <c r="Q45" s="47"/>
      <c r="R45" s="47"/>
      <c r="S45" s="47"/>
      <c r="T45" s="47"/>
    </row>
    <row r="46" spans="1:20" ht="15" customHeight="1" x14ac:dyDescent="0.25">
      <c r="A46" s="47"/>
      <c r="B46" s="46"/>
      <c r="C46" s="47"/>
      <c r="D46" s="47"/>
      <c r="E46" s="47"/>
      <c r="F46" s="47"/>
      <c r="G46" s="47"/>
      <c r="H46" s="47"/>
      <c r="I46" s="47"/>
      <c r="J46" s="47"/>
      <c r="K46" s="47"/>
      <c r="L46" s="48" t="str">
        <f t="shared" si="0"/>
        <v/>
      </c>
      <c r="M46" s="47" t="str">
        <f t="shared" si="1"/>
        <v/>
      </c>
      <c r="N46" s="47"/>
      <c r="O46" s="47"/>
      <c r="P46" s="47"/>
      <c r="Q46" s="47"/>
      <c r="R46" s="47"/>
      <c r="S46" s="47"/>
      <c r="T46" s="47"/>
    </row>
    <row r="47" spans="1:20" ht="15" customHeight="1" x14ac:dyDescent="0.25">
      <c r="A47" s="47"/>
      <c r="B47" s="46"/>
      <c r="C47" s="47"/>
      <c r="D47" s="47"/>
      <c r="E47" s="47"/>
      <c r="F47" s="47"/>
      <c r="G47" s="47"/>
      <c r="H47" s="47"/>
      <c r="I47" s="47"/>
      <c r="J47" s="47"/>
      <c r="K47" s="47"/>
      <c r="L47" s="48" t="str">
        <f t="shared" si="0"/>
        <v/>
      </c>
      <c r="M47" s="47" t="str">
        <f t="shared" si="1"/>
        <v/>
      </c>
      <c r="N47" s="47"/>
      <c r="O47" s="47"/>
      <c r="P47" s="47"/>
      <c r="Q47" s="47"/>
      <c r="R47" s="47"/>
      <c r="S47" s="47"/>
      <c r="T47" s="47"/>
    </row>
    <row r="48" spans="1:20" ht="15" customHeight="1" x14ac:dyDescent="0.25">
      <c r="A48" s="47"/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8" t="str">
        <f t="shared" si="0"/>
        <v/>
      </c>
      <c r="M48" s="47" t="str">
        <f t="shared" si="1"/>
        <v/>
      </c>
      <c r="N48" s="47"/>
      <c r="O48" s="47"/>
      <c r="P48" s="47"/>
      <c r="Q48" s="47"/>
      <c r="R48" s="47"/>
      <c r="S48" s="47"/>
      <c r="T48" s="47"/>
    </row>
    <row r="49" spans="1:20" ht="15" customHeight="1" x14ac:dyDescent="0.25">
      <c r="A49" s="47"/>
      <c r="B49" s="46"/>
      <c r="C49" s="47"/>
      <c r="D49" s="47"/>
      <c r="E49" s="47"/>
      <c r="F49" s="47"/>
      <c r="G49" s="47"/>
      <c r="H49" s="47"/>
      <c r="I49" s="47"/>
      <c r="J49" s="47"/>
      <c r="K49" s="47"/>
      <c r="L49" s="48" t="str">
        <f t="shared" si="0"/>
        <v/>
      </c>
      <c r="M49" s="47" t="str">
        <f t="shared" si="1"/>
        <v/>
      </c>
      <c r="N49" s="47"/>
      <c r="O49" s="47"/>
      <c r="P49" s="47"/>
      <c r="Q49" s="47"/>
      <c r="R49" s="47"/>
      <c r="S49" s="47"/>
      <c r="T49" s="47"/>
    </row>
    <row r="50" spans="1:20" ht="15" customHeight="1" x14ac:dyDescent="0.25">
      <c r="A50" s="47"/>
      <c r="B50" s="46"/>
      <c r="C50" s="47"/>
      <c r="D50" s="47"/>
      <c r="E50" s="47"/>
      <c r="F50" s="47"/>
      <c r="G50" s="47"/>
      <c r="H50" s="47"/>
      <c r="I50" s="47"/>
      <c r="J50" s="47"/>
      <c r="K50" s="47"/>
      <c r="L50" s="48" t="str">
        <f t="shared" si="0"/>
        <v/>
      </c>
      <c r="M50" s="47" t="str">
        <f t="shared" si="1"/>
        <v/>
      </c>
      <c r="N50" s="47"/>
      <c r="O50" s="47"/>
      <c r="P50" s="47"/>
      <c r="Q50" s="47"/>
      <c r="R50" s="47"/>
      <c r="S50" s="47"/>
      <c r="T50" s="47"/>
    </row>
    <row r="51" spans="1:20" ht="15" customHeight="1" x14ac:dyDescent="0.25">
      <c r="A51" s="47"/>
      <c r="B51" s="46"/>
      <c r="C51" s="47"/>
      <c r="D51" s="47"/>
      <c r="E51" s="47"/>
      <c r="F51" s="47"/>
      <c r="G51" s="47"/>
      <c r="H51" s="47"/>
      <c r="I51" s="47"/>
      <c r="J51" s="47"/>
      <c r="K51" s="47"/>
      <c r="L51" s="48" t="str">
        <f t="shared" si="0"/>
        <v/>
      </c>
      <c r="M51" s="47" t="str">
        <f t="shared" si="1"/>
        <v/>
      </c>
      <c r="N51" s="47"/>
      <c r="O51" s="47"/>
      <c r="P51" s="47"/>
      <c r="Q51" s="47"/>
      <c r="R51" s="47"/>
      <c r="S51" s="47"/>
      <c r="T51" s="47"/>
    </row>
    <row r="52" spans="1:20" ht="15" customHeight="1" x14ac:dyDescent="0.25">
      <c r="A52" s="47"/>
      <c r="B52" s="46"/>
      <c r="C52" s="47"/>
      <c r="D52" s="47"/>
      <c r="E52" s="47"/>
      <c r="F52" s="47"/>
      <c r="G52" s="47"/>
      <c r="H52" s="47"/>
      <c r="I52" s="47"/>
      <c r="J52" s="47"/>
      <c r="K52" s="47"/>
      <c r="L52" s="48" t="str">
        <f t="shared" si="0"/>
        <v/>
      </c>
      <c r="M52" s="47" t="str">
        <f t="shared" si="1"/>
        <v/>
      </c>
      <c r="N52" s="47"/>
      <c r="O52" s="47"/>
      <c r="P52" s="47"/>
      <c r="Q52" s="47"/>
      <c r="R52" s="47"/>
      <c r="S52" s="47"/>
      <c r="T52" s="47"/>
    </row>
    <row r="53" spans="1:20" ht="15" customHeight="1" x14ac:dyDescent="0.25">
      <c r="A53" s="47"/>
      <c r="B53" s="46"/>
      <c r="C53" s="47"/>
      <c r="D53" s="47"/>
      <c r="E53" s="47"/>
      <c r="F53" s="47"/>
      <c r="G53" s="47"/>
      <c r="H53" s="47"/>
      <c r="I53" s="47"/>
      <c r="J53" s="47"/>
      <c r="K53" s="47"/>
      <c r="L53" s="48" t="str">
        <f t="shared" si="0"/>
        <v/>
      </c>
      <c r="M53" s="47" t="str">
        <f t="shared" si="1"/>
        <v/>
      </c>
      <c r="N53" s="47"/>
      <c r="O53" s="47"/>
      <c r="P53" s="47"/>
      <c r="Q53" s="47"/>
      <c r="R53" s="47"/>
      <c r="S53" s="47"/>
      <c r="T53" s="47"/>
    </row>
    <row r="54" spans="1:20" ht="15" customHeight="1" x14ac:dyDescent="0.25">
      <c r="A54" s="47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8" t="str">
        <f t="shared" si="0"/>
        <v/>
      </c>
      <c r="M54" s="47" t="str">
        <f t="shared" si="1"/>
        <v/>
      </c>
      <c r="N54" s="47"/>
      <c r="O54" s="47"/>
      <c r="P54" s="47"/>
      <c r="Q54" s="47"/>
      <c r="R54" s="47"/>
      <c r="S54" s="47"/>
      <c r="T54" s="47"/>
    </row>
    <row r="57" spans="1:20" ht="15" customHeight="1" x14ac:dyDescent="0.25">
      <c r="A57" s="2" t="s">
        <v>578</v>
      </c>
      <c r="B57" s="87" t="e" vm="1">
        <f>IF(#REF!="","No File",HYPERLINK(#REF!,"View File"))</f>
        <v>#REF!</v>
      </c>
    </row>
  </sheetData>
  <mergeCells count="1">
    <mergeCell ref="A1:S2"/>
  </mergeCells>
  <conditionalFormatting sqref="S5:S200">
    <cfRule type="expression" dxfId="24" priority="2">
      <formula>$S5="Submitted"</formula>
    </cfRule>
    <cfRule type="expression" dxfId="23" priority="3">
      <formula>$S5="For Checking"</formula>
    </cfRule>
    <cfRule type="expression" dxfId="22" priority="4">
      <formula>$S5="Returned"</formula>
    </cfRule>
    <cfRule type="expression" dxfId="21" priority="5">
      <formula>$S5="Overdue"</formula>
    </cfRule>
    <cfRule type="expression" dxfId="20" priority="6">
      <formula>$S5="Due Soon"</formula>
    </cfRule>
  </conditionalFormatting>
  <dataValidations count="4">
    <dataValidation type="list" allowBlank="1" sqref="D5:D200" xr:uid="{00000000-0002-0000-0800-000000000000}">
      <formula1>"Kinder,Grade 1,Grade 2,Grade 3,Grade 4,Grade 5,Grade 6"</formula1>
      <formula2>0</formula2>
    </dataValidation>
    <dataValidation type="list" allowBlank="1" sqref="F5:F200" xr:uid="{00000000-0002-0000-0800-000001000000}">
      <formula1>"1st Quarter,2nd Quarter,3rd Quarter,4th Quarter"</formula1>
      <formula2>0</formula2>
    </dataValidation>
    <dataValidation type="list" allowBlank="1" sqref="G5:G200" xr:uid="{00000000-0002-0000-0800-000002000000}">
      <formula1>"Diagnostic Test,Summative Test,Periodical Exam,Quarterly Assessment,Post-Test,Reading Assessment,Numeracy Assessment,Other"</formula1>
      <formula2>0</formula2>
    </dataValidation>
    <dataValidation type="list" allowBlank="1" sqref="S5:S200" xr:uid="{00000000-0002-0000-0800-000003000000}">
      <formula1>"For Checking,Submitted,Returned,Overdue,Due Soon"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showGridLines="0" zoomScaleNormal="100" workbookViewId="0"/>
  </sheetViews>
  <sheetFormatPr defaultColWidth="8.7109375" defaultRowHeight="15" x14ac:dyDescent="0.25"/>
  <cols>
    <col min="1" max="1" width="24" customWidth="1"/>
    <col min="2" max="2" width="28" customWidth="1"/>
    <col min="3" max="3" width="24" customWidth="1"/>
    <col min="4" max="4" width="20" customWidth="1"/>
    <col min="5" max="5" width="55" customWidth="1"/>
    <col min="6" max="6" width="16" customWidth="1"/>
    <col min="7" max="7" width="26" customWidth="1"/>
    <col min="8" max="8" width="34" customWidth="1"/>
  </cols>
  <sheetData>
    <row r="1" spans="1:8" ht="15" customHeight="1" x14ac:dyDescent="0.25">
      <c r="A1" s="125" t="s">
        <v>579</v>
      </c>
      <c r="B1" s="125"/>
      <c r="C1" s="125"/>
      <c r="D1" s="125"/>
      <c r="E1" s="125"/>
      <c r="F1" s="125"/>
      <c r="G1" s="125"/>
      <c r="H1" s="125"/>
    </row>
    <row r="2" spans="1:8" ht="15" customHeight="1" x14ac:dyDescent="0.25">
      <c r="A2" s="125"/>
      <c r="B2" s="125"/>
      <c r="C2" s="125"/>
      <c r="D2" s="125"/>
      <c r="E2" s="125"/>
      <c r="F2" s="125"/>
      <c r="G2" s="125"/>
      <c r="H2" s="125"/>
    </row>
    <row r="3" spans="1:8" ht="15" customHeight="1" x14ac:dyDescent="0.25">
      <c r="A3" s="125"/>
      <c r="B3" s="125"/>
      <c r="C3" s="125"/>
      <c r="D3" s="125"/>
      <c r="E3" s="125"/>
      <c r="F3" s="125"/>
      <c r="G3" s="125"/>
      <c r="H3" s="125"/>
    </row>
    <row r="5" spans="1:8" ht="15" customHeight="1" x14ac:dyDescent="0.25">
      <c r="A5" s="69" t="s">
        <v>580</v>
      </c>
      <c r="B5" s="69" t="s">
        <v>581</v>
      </c>
      <c r="C5" s="69" t="s">
        <v>582</v>
      </c>
      <c r="D5" s="69" t="s">
        <v>583</v>
      </c>
      <c r="E5" s="69" t="s">
        <v>584</v>
      </c>
      <c r="F5" s="69" t="s">
        <v>585</v>
      </c>
      <c r="G5" s="69" t="s">
        <v>586</v>
      </c>
      <c r="H5" s="69" t="s">
        <v>471</v>
      </c>
    </row>
    <row r="6" spans="1:8" ht="23.25" customHeight="1" x14ac:dyDescent="0.25">
      <c r="A6" s="47" t="s">
        <v>587</v>
      </c>
      <c r="B6" s="47" t="s">
        <v>588</v>
      </c>
      <c r="C6" s="47" t="s">
        <v>589</v>
      </c>
      <c r="D6" s="47" t="s">
        <v>590</v>
      </c>
      <c r="E6" s="47" t="s">
        <v>591</v>
      </c>
      <c r="F6" s="47" t="s">
        <v>592</v>
      </c>
      <c r="G6" s="47" t="s">
        <v>593</v>
      </c>
      <c r="H6" s="47" t="s">
        <v>594</v>
      </c>
    </row>
    <row r="7" spans="1:8" ht="23.25" customHeight="1" x14ac:dyDescent="0.25">
      <c r="A7" s="47" t="s">
        <v>595</v>
      </c>
      <c r="B7" s="47" t="s">
        <v>596</v>
      </c>
      <c r="C7" s="47" t="s">
        <v>597</v>
      </c>
      <c r="D7" s="47" t="s">
        <v>598</v>
      </c>
      <c r="E7" s="47" t="s">
        <v>599</v>
      </c>
      <c r="F7" s="47" t="s">
        <v>600</v>
      </c>
      <c r="G7" s="47" t="s">
        <v>601</v>
      </c>
      <c r="H7" s="47" t="s">
        <v>602</v>
      </c>
    </row>
    <row r="8" spans="1:8" ht="23.25" customHeight="1" x14ac:dyDescent="0.25">
      <c r="A8" s="47" t="s">
        <v>603</v>
      </c>
      <c r="B8" s="47" t="s">
        <v>604</v>
      </c>
      <c r="C8" s="47" t="s">
        <v>605</v>
      </c>
      <c r="D8" s="47" t="s">
        <v>606</v>
      </c>
      <c r="E8" s="47" t="s">
        <v>607</v>
      </c>
      <c r="F8" s="47" t="s">
        <v>592</v>
      </c>
      <c r="G8" s="47" t="s">
        <v>608</v>
      </c>
      <c r="H8" s="47" t="s">
        <v>609</v>
      </c>
    </row>
    <row r="9" spans="1:8" ht="23.25" customHeight="1" x14ac:dyDescent="0.25">
      <c r="A9" s="47" t="s">
        <v>610</v>
      </c>
      <c r="B9" s="47" t="s">
        <v>611</v>
      </c>
      <c r="C9" s="47" t="s">
        <v>612</v>
      </c>
      <c r="D9" s="47" t="s">
        <v>613</v>
      </c>
      <c r="E9" s="47" t="s">
        <v>614</v>
      </c>
      <c r="F9" s="47" t="s">
        <v>615</v>
      </c>
      <c r="G9" s="47" t="s">
        <v>616</v>
      </c>
      <c r="H9" s="47" t="s">
        <v>617</v>
      </c>
    </row>
    <row r="12" spans="1:8" ht="15" customHeight="1" x14ac:dyDescent="0.25">
      <c r="A12" s="129" t="s">
        <v>618</v>
      </c>
      <c r="B12" s="129"/>
      <c r="C12" s="129"/>
      <c r="D12" s="129"/>
      <c r="E12" s="129"/>
      <c r="F12" s="129"/>
      <c r="G12" s="129"/>
      <c r="H12" s="129"/>
    </row>
    <row r="13" spans="1:8" ht="15" customHeight="1" x14ac:dyDescent="0.25">
      <c r="A13" s="129"/>
      <c r="B13" s="129"/>
      <c r="C13" s="129"/>
      <c r="D13" s="129"/>
      <c r="E13" s="129"/>
      <c r="F13" s="129"/>
      <c r="G13" s="129"/>
      <c r="H13" s="129"/>
    </row>
    <row r="14" spans="1:8" ht="15" customHeight="1" x14ac:dyDescent="0.25">
      <c r="A14" s="129"/>
      <c r="B14" s="129"/>
      <c r="C14" s="129"/>
      <c r="D14" s="129"/>
      <c r="E14" s="129"/>
      <c r="F14" s="129"/>
      <c r="G14" s="129"/>
      <c r="H14" s="129"/>
    </row>
    <row r="15" spans="1:8" ht="15" customHeight="1" x14ac:dyDescent="0.25">
      <c r="A15" s="129"/>
      <c r="B15" s="129"/>
      <c r="C15" s="129"/>
      <c r="D15" s="129"/>
      <c r="E15" s="129"/>
      <c r="F15" s="129"/>
      <c r="G15" s="129"/>
      <c r="H15" s="129"/>
    </row>
  </sheetData>
  <mergeCells count="2">
    <mergeCell ref="A1:H3"/>
    <mergeCell ref="A12:H1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8" customWidth="1"/>
    <col min="3" max="3" width="30" customWidth="1"/>
    <col min="4" max="5" width="14" customWidth="1"/>
    <col min="6" max="6" width="16" customWidth="1"/>
    <col min="7" max="7" width="12" customWidth="1"/>
    <col min="8" max="8" width="22" customWidth="1"/>
    <col min="9" max="9" width="18" customWidth="1"/>
    <col min="10" max="10" width="16" customWidth="1"/>
    <col min="11" max="11" width="12" customWidth="1"/>
    <col min="12" max="12" width="30" customWidth="1"/>
  </cols>
  <sheetData>
    <row r="1" spans="1:12" ht="15" customHeight="1" x14ac:dyDescent="0.25">
      <c r="A1" s="128" t="s">
        <v>619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</row>
    <row r="2" spans="1:12" ht="15" customHeight="1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ht="15" customHeight="1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5" spans="1:12" ht="23.25" customHeight="1" x14ac:dyDescent="0.25">
      <c r="A5" s="83" t="s">
        <v>620</v>
      </c>
      <c r="B5" s="83" t="s">
        <v>621</v>
      </c>
      <c r="C5" s="83" t="s">
        <v>622</v>
      </c>
      <c r="D5" s="83" t="s">
        <v>623</v>
      </c>
      <c r="E5" s="83" t="s">
        <v>624</v>
      </c>
      <c r="F5" s="83" t="s">
        <v>625</v>
      </c>
      <c r="G5" s="83" t="s">
        <v>626</v>
      </c>
      <c r="H5" s="83" t="s">
        <v>627</v>
      </c>
      <c r="I5" s="83" t="s">
        <v>628</v>
      </c>
      <c r="J5" s="83" t="s">
        <v>629</v>
      </c>
      <c r="K5" s="83" t="s">
        <v>56</v>
      </c>
      <c r="L5" s="83" t="s">
        <v>471</v>
      </c>
    </row>
    <row r="6" spans="1:12" ht="15" customHeight="1" x14ac:dyDescent="0.25">
      <c r="A6" s="47">
        <v>1</v>
      </c>
      <c r="B6" s="47" t="s">
        <v>107</v>
      </c>
      <c r="C6" s="47" t="s">
        <v>533</v>
      </c>
      <c r="D6" s="47" t="s">
        <v>55</v>
      </c>
      <c r="E6" s="47" t="s">
        <v>12</v>
      </c>
      <c r="F6" s="47" t="s">
        <v>106</v>
      </c>
      <c r="G6" s="47" t="s">
        <v>630</v>
      </c>
      <c r="H6" s="47" t="s">
        <v>630</v>
      </c>
      <c r="I6" s="47" t="s">
        <v>631</v>
      </c>
      <c r="J6" s="47" t="s">
        <v>631</v>
      </c>
      <c r="K6" s="47" t="s">
        <v>101</v>
      </c>
      <c r="L6" s="47" t="s">
        <v>632</v>
      </c>
    </row>
    <row r="7" spans="1:12" ht="15" customHeight="1" x14ac:dyDescent="0.25">
      <c r="A7" s="47">
        <v>2</v>
      </c>
      <c r="B7" s="47" t="s">
        <v>109</v>
      </c>
      <c r="C7" s="47" t="s">
        <v>542</v>
      </c>
      <c r="D7" s="47" t="s">
        <v>55</v>
      </c>
      <c r="E7" s="47" t="s">
        <v>23</v>
      </c>
      <c r="F7" s="47" t="s">
        <v>108</v>
      </c>
      <c r="G7" s="47" t="s">
        <v>630</v>
      </c>
      <c r="H7" s="47" t="s">
        <v>630</v>
      </c>
      <c r="I7" s="47" t="s">
        <v>631</v>
      </c>
      <c r="J7" s="47" t="s">
        <v>631</v>
      </c>
      <c r="K7" s="47" t="s">
        <v>101</v>
      </c>
      <c r="L7" s="47" t="s">
        <v>632</v>
      </c>
    </row>
    <row r="8" spans="1:12" ht="15" customHeight="1" x14ac:dyDescent="0.25">
      <c r="A8" s="47">
        <v>3</v>
      </c>
      <c r="B8" s="47" t="s">
        <v>111</v>
      </c>
      <c r="C8" s="47" t="s">
        <v>550</v>
      </c>
      <c r="D8" s="47" t="s">
        <v>55</v>
      </c>
      <c r="E8" s="47" t="s">
        <v>26</v>
      </c>
      <c r="F8" s="47" t="s">
        <v>110</v>
      </c>
      <c r="G8" s="47" t="s">
        <v>630</v>
      </c>
      <c r="H8" s="47" t="s">
        <v>630</v>
      </c>
      <c r="I8" s="47" t="s">
        <v>631</v>
      </c>
      <c r="J8" s="47" t="s">
        <v>631</v>
      </c>
      <c r="K8" s="47" t="s">
        <v>101</v>
      </c>
      <c r="L8" s="47" t="s">
        <v>632</v>
      </c>
    </row>
    <row r="9" spans="1:12" ht="15" customHeight="1" x14ac:dyDescent="0.25">
      <c r="A9" s="47">
        <v>4</v>
      </c>
      <c r="B9" s="47" t="s">
        <v>113</v>
      </c>
      <c r="C9" s="47" t="s">
        <v>633</v>
      </c>
      <c r="D9" s="47" t="s">
        <v>55</v>
      </c>
      <c r="E9" s="47" t="s">
        <v>39</v>
      </c>
      <c r="F9" s="47" t="s">
        <v>112</v>
      </c>
      <c r="G9" s="47" t="s">
        <v>630</v>
      </c>
      <c r="H9" s="47" t="s">
        <v>630</v>
      </c>
      <c r="I9" s="47" t="s">
        <v>631</v>
      </c>
      <c r="J9" s="47" t="s">
        <v>631</v>
      </c>
      <c r="K9" s="47" t="s">
        <v>101</v>
      </c>
      <c r="L9" s="47" t="s">
        <v>632</v>
      </c>
    </row>
    <row r="10" spans="1:12" ht="15" customHeight="1" x14ac:dyDescent="0.25">
      <c r="A10" s="47">
        <v>5</v>
      </c>
      <c r="B10" s="47" t="s">
        <v>115</v>
      </c>
      <c r="C10" s="47" t="s">
        <v>634</v>
      </c>
      <c r="D10" s="47" t="s">
        <v>55</v>
      </c>
      <c r="E10" s="47" t="s">
        <v>42</v>
      </c>
      <c r="F10" s="47" t="s">
        <v>114</v>
      </c>
      <c r="G10" s="47" t="s">
        <v>630</v>
      </c>
      <c r="H10" s="47" t="s">
        <v>630</v>
      </c>
      <c r="I10" s="47" t="s">
        <v>631</v>
      </c>
      <c r="J10" s="47" t="s">
        <v>631</v>
      </c>
      <c r="K10" s="47" t="s">
        <v>101</v>
      </c>
      <c r="L10" s="47" t="s">
        <v>632</v>
      </c>
    </row>
    <row r="11" spans="1:12" ht="15" customHeight="1" x14ac:dyDescent="0.25">
      <c r="A11" s="47">
        <v>6</v>
      </c>
      <c r="B11" s="47" t="s">
        <v>117</v>
      </c>
      <c r="C11" s="47" t="s">
        <v>635</v>
      </c>
      <c r="D11" s="47" t="s">
        <v>55</v>
      </c>
      <c r="E11" s="47" t="s">
        <v>44</v>
      </c>
      <c r="F11" s="47" t="s">
        <v>116</v>
      </c>
      <c r="G11" s="47" t="s">
        <v>630</v>
      </c>
      <c r="H11" s="47" t="s">
        <v>630</v>
      </c>
      <c r="I11" s="47" t="s">
        <v>631</v>
      </c>
      <c r="J11" s="47" t="s">
        <v>631</v>
      </c>
      <c r="K11" s="47" t="s">
        <v>101</v>
      </c>
      <c r="L11" s="47" t="s">
        <v>632</v>
      </c>
    </row>
    <row r="12" spans="1:12" ht="15" customHeight="1" x14ac:dyDescent="0.25">
      <c r="A12" s="47">
        <v>7</v>
      </c>
      <c r="B12" s="47" t="s">
        <v>636</v>
      </c>
      <c r="C12" s="47" t="s">
        <v>637</v>
      </c>
      <c r="D12" s="47" t="s">
        <v>638</v>
      </c>
      <c r="E12" s="47" t="s">
        <v>639</v>
      </c>
      <c r="F12" s="47" t="s">
        <v>639</v>
      </c>
      <c r="G12" s="47" t="s">
        <v>630</v>
      </c>
      <c r="H12" s="47" t="s">
        <v>630</v>
      </c>
      <c r="I12" s="47" t="s">
        <v>630</v>
      </c>
      <c r="J12" s="47" t="s">
        <v>630</v>
      </c>
      <c r="K12" s="47" t="s">
        <v>101</v>
      </c>
      <c r="L12" s="47" t="s">
        <v>640</v>
      </c>
    </row>
    <row r="13" spans="1:12" ht="15" customHeight="1" x14ac:dyDescent="0.25">
      <c r="A13" s="47">
        <v>8</v>
      </c>
      <c r="B13" s="47" t="s">
        <v>641</v>
      </c>
      <c r="C13" s="47" t="s">
        <v>642</v>
      </c>
      <c r="D13" s="47" t="s">
        <v>643</v>
      </c>
      <c r="E13" s="47" t="s">
        <v>639</v>
      </c>
      <c r="F13" s="47" t="s">
        <v>639</v>
      </c>
      <c r="G13" s="47" t="s">
        <v>631</v>
      </c>
      <c r="H13" s="47" t="s">
        <v>630</v>
      </c>
      <c r="I13" s="47" t="s">
        <v>630</v>
      </c>
      <c r="J13" s="47" t="s">
        <v>631</v>
      </c>
      <c r="K13" s="47" t="s">
        <v>101</v>
      </c>
      <c r="L13" s="47" t="s">
        <v>644</v>
      </c>
    </row>
    <row r="14" spans="1:12" ht="15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" customHeight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" customHeight="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" customHeight="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" customHeight="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" customHeight="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" customHeight="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" customHeight="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" customHeight="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" customHeight="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" customHeight="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" customHeight="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" customHeight="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" customHeight="1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" customHeight="1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</row>
    <row r="33" spans="1:12" ht="1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 spans="1:12" ht="15" customHeight="1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</row>
    <row r="35" spans="1:12" ht="15" customHeight="1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</row>
    <row r="36" spans="1:12" ht="15" customHeight="1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</row>
    <row r="37" spans="1:12" ht="15" customHeight="1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</row>
    <row r="38" spans="1:12" ht="15" customHeight="1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15" customHeight="1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</row>
    <row r="40" spans="1:12" ht="15" customHeight="1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</row>
    <row r="41" spans="1:12" ht="15" customHeight="1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</row>
    <row r="42" spans="1:12" ht="15" customHeight="1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1:12" ht="15" customHeight="1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15" customHeight="1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15" customHeight="1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15" customHeight="1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15" customHeight="1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15" customHeight="1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15" customHeight="1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15" customHeight="1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  <row r="52" spans="1:12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</row>
    <row r="53" spans="1:12" ht="15" customHeight="1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</row>
    <row r="54" spans="1:12" ht="15" customHeight="1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</row>
    <row r="55" spans="1:12" ht="15" customHeight="1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</row>
    <row r="56" spans="1:12" ht="15" customHeight="1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</row>
    <row r="57" spans="1:12" ht="15" customHeight="1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</row>
    <row r="58" spans="1:12" ht="15" customHeight="1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1:12" ht="15" customHeight="1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</row>
    <row r="60" spans="1:12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</row>
    <row r="62" spans="1:12" ht="15" customHeight="1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</row>
    <row r="63" spans="1:12" ht="15" customHeight="1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15" customHeight="1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</row>
    <row r="65" spans="1:12" ht="15" customHeight="1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</row>
    <row r="66" spans="1:12" ht="15" customHeight="1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</row>
    <row r="67" spans="1:12" ht="15" customHeight="1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</row>
    <row r="68" spans="1:12" ht="15" customHeight="1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</row>
    <row r="69" spans="1:12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</row>
    <row r="70" spans="1:12" ht="15" customHeight="1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</row>
    <row r="71" spans="1:12" ht="1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</row>
    <row r="72" spans="1:12" ht="15" customHeight="1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</row>
    <row r="73" spans="1:12" ht="15" customHeight="1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</row>
    <row r="74" spans="1:12" ht="15" customHeight="1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5" customHeight="1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</row>
    <row r="76" spans="1:12" ht="15" customHeight="1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</row>
    <row r="77" spans="1:12" ht="15" customHeight="1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</row>
    <row r="78" spans="1:12" ht="15" customHeight="1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</row>
    <row r="79" spans="1:12" ht="15" customHeight="1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</row>
    <row r="80" spans="1:12" ht="15" customHeight="1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</row>
  </sheetData>
  <mergeCells count="1">
    <mergeCell ref="A1:L3"/>
  </mergeCells>
  <dataValidations count="3">
    <dataValidation type="list" allowBlank="1" sqref="D6:D100" xr:uid="{00000000-0002-0000-0900-000000000000}">
      <formula1>"Teacher,Admin,Principal"</formula1>
      <formula2>0</formula2>
    </dataValidation>
    <dataValidation type="list" allowBlank="1" sqref="G6:J100" xr:uid="{00000000-0002-0000-0900-000001000000}">
      <formula1>"Yes,No"</formula1>
      <formula2>0</formula2>
    </dataValidation>
    <dataValidation type="list" allowBlank="1" sqref="K6:K100" xr:uid="{00000000-0002-0000-0900-000005000000}">
      <formula1>"Active,Inactive"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38" customWidth="1"/>
    <col min="3" max="4" width="34" customWidth="1"/>
    <col min="5" max="7" width="28" customWidth="1"/>
    <col min="8" max="8" width="14" customWidth="1"/>
  </cols>
  <sheetData>
    <row r="1" spans="1:8" ht="15" customHeight="1" x14ac:dyDescent="0.25">
      <c r="A1" s="130" t="s">
        <v>645</v>
      </c>
      <c r="B1" s="130"/>
      <c r="C1" s="130"/>
      <c r="D1" s="130"/>
      <c r="E1" s="130"/>
      <c r="F1" s="130"/>
      <c r="G1" s="130"/>
      <c r="H1" s="130"/>
    </row>
    <row r="2" spans="1:8" ht="15" customHeight="1" x14ac:dyDescent="0.25">
      <c r="A2" s="130"/>
      <c r="B2" s="130"/>
      <c r="C2" s="130"/>
      <c r="D2" s="130"/>
      <c r="E2" s="130"/>
      <c r="F2" s="130"/>
      <c r="G2" s="130"/>
      <c r="H2" s="130"/>
    </row>
    <row r="3" spans="1:8" ht="15" customHeight="1" x14ac:dyDescent="0.25">
      <c r="A3" s="130"/>
      <c r="B3" s="130"/>
      <c r="C3" s="130"/>
      <c r="D3" s="130"/>
      <c r="E3" s="130"/>
      <c r="F3" s="130"/>
      <c r="G3" s="130"/>
      <c r="H3" s="130"/>
    </row>
    <row r="5" spans="1:8" ht="15" customHeight="1" x14ac:dyDescent="0.25">
      <c r="A5" s="83" t="s">
        <v>437</v>
      </c>
      <c r="B5" s="83" t="s">
        <v>646</v>
      </c>
      <c r="C5" s="83" t="s">
        <v>647</v>
      </c>
      <c r="D5" s="83" t="s">
        <v>648</v>
      </c>
      <c r="E5" s="83" t="s">
        <v>649</v>
      </c>
      <c r="F5" s="83" t="s">
        <v>650</v>
      </c>
      <c r="G5" s="83" t="s">
        <v>651</v>
      </c>
      <c r="H5" s="83" t="s">
        <v>56</v>
      </c>
    </row>
    <row r="6" spans="1:8" ht="34.5" customHeight="1" x14ac:dyDescent="0.25">
      <c r="A6" s="47">
        <v>1</v>
      </c>
      <c r="B6" s="47" t="s">
        <v>652</v>
      </c>
      <c r="C6" s="47" t="s">
        <v>653</v>
      </c>
      <c r="D6" s="47" t="s">
        <v>654</v>
      </c>
      <c r="E6" s="47" t="s">
        <v>655</v>
      </c>
      <c r="F6" s="47" t="s">
        <v>656</v>
      </c>
      <c r="G6" s="47" t="s">
        <v>657</v>
      </c>
      <c r="H6" s="47" t="s">
        <v>658</v>
      </c>
    </row>
    <row r="7" spans="1:8" ht="23.25" customHeight="1" x14ac:dyDescent="0.25">
      <c r="A7" s="47">
        <v>2</v>
      </c>
      <c r="B7" s="47" t="s">
        <v>659</v>
      </c>
      <c r="C7" s="47" t="s">
        <v>660</v>
      </c>
      <c r="D7" s="47" t="s">
        <v>661</v>
      </c>
      <c r="E7" s="47" t="s">
        <v>662</v>
      </c>
      <c r="F7" s="47" t="s">
        <v>663</v>
      </c>
      <c r="G7" s="47" t="s">
        <v>664</v>
      </c>
      <c r="H7" s="47" t="s">
        <v>658</v>
      </c>
    </row>
    <row r="8" spans="1:8" ht="23.25" customHeight="1" x14ac:dyDescent="0.25">
      <c r="A8" s="47">
        <v>3</v>
      </c>
      <c r="B8" s="47" t="s">
        <v>665</v>
      </c>
      <c r="C8" s="47" t="s">
        <v>666</v>
      </c>
      <c r="D8" s="47" t="s">
        <v>667</v>
      </c>
      <c r="E8" s="47" t="s">
        <v>668</v>
      </c>
      <c r="F8" s="47" t="s">
        <v>669</v>
      </c>
      <c r="G8" s="47" t="s">
        <v>670</v>
      </c>
      <c r="H8" s="47" t="s">
        <v>658</v>
      </c>
    </row>
    <row r="9" spans="1:8" ht="23.25" customHeight="1" x14ac:dyDescent="0.25">
      <c r="A9" s="47">
        <v>4</v>
      </c>
      <c r="B9" s="47" t="s">
        <v>671</v>
      </c>
      <c r="C9" s="47" t="s">
        <v>672</v>
      </c>
      <c r="D9" s="47" t="s">
        <v>673</v>
      </c>
      <c r="E9" s="47" t="s">
        <v>674</v>
      </c>
      <c r="F9" s="47" t="s">
        <v>675</v>
      </c>
      <c r="G9" s="47" t="s">
        <v>676</v>
      </c>
      <c r="H9" s="47" t="s">
        <v>658</v>
      </c>
    </row>
    <row r="10" spans="1:8" ht="15" customHeight="1" x14ac:dyDescent="0.25">
      <c r="A10">
        <v>5</v>
      </c>
      <c r="B10" t="s">
        <v>677</v>
      </c>
      <c r="C10" t="s">
        <v>678</v>
      </c>
      <c r="D10" t="s">
        <v>679</v>
      </c>
      <c r="E10" t="s">
        <v>680</v>
      </c>
      <c r="F10" t="s">
        <v>681</v>
      </c>
      <c r="G10" t="s">
        <v>682</v>
      </c>
      <c r="H10" t="s">
        <v>658</v>
      </c>
    </row>
  </sheetData>
  <mergeCells count="1">
    <mergeCell ref="A1:H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30" customWidth="1"/>
    <col min="3" max="3" width="28" customWidth="1"/>
    <col min="4" max="5" width="42" customWidth="1"/>
    <col min="6" max="7" width="28" customWidth="1"/>
    <col min="8" max="8" width="30" customWidth="1"/>
    <col min="9" max="9" width="16" customWidth="1"/>
    <col min="10" max="10" width="42" customWidth="1"/>
  </cols>
  <sheetData>
    <row r="1" spans="1:10" ht="15" customHeight="1" x14ac:dyDescent="0.25">
      <c r="A1" s="128" t="s">
        <v>683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0" ht="15" customHeight="1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</row>
    <row r="4" spans="1:10" ht="15" customHeight="1" x14ac:dyDescent="0.25">
      <c r="A4" s="88" t="s">
        <v>437</v>
      </c>
      <c r="B4" s="88" t="s">
        <v>684</v>
      </c>
      <c r="C4" s="88" t="s">
        <v>438</v>
      </c>
      <c r="D4" s="88" t="s">
        <v>685</v>
      </c>
      <c r="E4" s="88" t="s">
        <v>686</v>
      </c>
      <c r="F4" s="88" t="s">
        <v>687</v>
      </c>
      <c r="G4" s="88" t="s">
        <v>688</v>
      </c>
      <c r="H4" s="88" t="s">
        <v>689</v>
      </c>
      <c r="I4" s="88" t="s">
        <v>690</v>
      </c>
      <c r="J4" s="88" t="s">
        <v>471</v>
      </c>
    </row>
    <row r="5" spans="1:10" ht="23.25" customHeight="1" x14ac:dyDescent="0.25">
      <c r="A5" s="47">
        <v>1</v>
      </c>
      <c r="B5" s="47" t="s">
        <v>691</v>
      </c>
      <c r="C5" s="47" t="s">
        <v>692</v>
      </c>
      <c r="D5" s="47" t="s">
        <v>693</v>
      </c>
      <c r="E5" s="47" t="s">
        <v>694</v>
      </c>
      <c r="F5" s="47" t="s">
        <v>695</v>
      </c>
      <c r="G5" s="47" t="s">
        <v>696</v>
      </c>
      <c r="H5" s="47" t="s">
        <v>697</v>
      </c>
      <c r="I5" s="47" t="s">
        <v>638</v>
      </c>
      <c r="J5" s="47" t="s">
        <v>698</v>
      </c>
    </row>
    <row r="6" spans="1:10" ht="23.25" customHeight="1" x14ac:dyDescent="0.25">
      <c r="A6" s="47">
        <v>2</v>
      </c>
      <c r="B6" s="47" t="s">
        <v>691</v>
      </c>
      <c r="C6" s="47" t="s">
        <v>699</v>
      </c>
      <c r="D6" s="47" t="s">
        <v>700</v>
      </c>
      <c r="E6" s="47" t="s">
        <v>701</v>
      </c>
      <c r="F6" s="47" t="s">
        <v>702</v>
      </c>
      <c r="G6" s="47" t="s">
        <v>703</v>
      </c>
      <c r="H6" s="47" t="s">
        <v>704</v>
      </c>
      <c r="I6" s="47" t="s">
        <v>638</v>
      </c>
      <c r="J6" s="47" t="s">
        <v>705</v>
      </c>
    </row>
    <row r="7" spans="1:10" ht="34.5" customHeight="1" x14ac:dyDescent="0.25">
      <c r="A7" s="47">
        <v>3</v>
      </c>
      <c r="B7" s="47" t="s">
        <v>706</v>
      </c>
      <c r="C7" s="47" t="s">
        <v>707</v>
      </c>
      <c r="D7" s="47" t="s">
        <v>708</v>
      </c>
      <c r="E7" s="47" t="s">
        <v>709</v>
      </c>
      <c r="F7" s="47" t="s">
        <v>710</v>
      </c>
      <c r="G7" s="47" t="s">
        <v>711</v>
      </c>
      <c r="H7" s="47" t="s">
        <v>712</v>
      </c>
      <c r="I7" s="47" t="s">
        <v>638</v>
      </c>
      <c r="J7" s="47" t="s">
        <v>713</v>
      </c>
    </row>
    <row r="8" spans="1:10" ht="23.25" customHeight="1" x14ac:dyDescent="0.25">
      <c r="A8" s="47">
        <v>4</v>
      </c>
      <c r="B8" s="47" t="s">
        <v>706</v>
      </c>
      <c r="C8" s="47" t="s">
        <v>714</v>
      </c>
      <c r="D8" s="47" t="s">
        <v>715</v>
      </c>
      <c r="E8" s="47" t="s">
        <v>716</v>
      </c>
      <c r="F8" s="47" t="s">
        <v>717</v>
      </c>
      <c r="G8" s="47" t="s">
        <v>718</v>
      </c>
      <c r="H8" s="47" t="s">
        <v>719</v>
      </c>
      <c r="I8" s="47" t="s">
        <v>638</v>
      </c>
      <c r="J8" s="47" t="s">
        <v>720</v>
      </c>
    </row>
    <row r="9" spans="1:10" ht="15" customHeight="1" x14ac:dyDescent="0.25">
      <c r="A9" s="47">
        <v>5</v>
      </c>
      <c r="B9" s="47" t="s">
        <v>721</v>
      </c>
      <c r="C9" s="47" t="s">
        <v>722</v>
      </c>
      <c r="D9" s="47" t="s">
        <v>723</v>
      </c>
      <c r="E9" s="47" t="s">
        <v>724</v>
      </c>
      <c r="F9" s="47" t="s">
        <v>725</v>
      </c>
      <c r="G9" s="47" t="s">
        <v>726</v>
      </c>
      <c r="H9" s="47" t="s">
        <v>727</v>
      </c>
      <c r="I9" s="47" t="s">
        <v>638</v>
      </c>
      <c r="J9" s="47" t="s">
        <v>728</v>
      </c>
    </row>
    <row r="10" spans="1:10" ht="23.25" customHeight="1" x14ac:dyDescent="0.25">
      <c r="A10" s="47">
        <v>6</v>
      </c>
      <c r="B10" s="47" t="s">
        <v>706</v>
      </c>
      <c r="C10" s="47" t="s">
        <v>729</v>
      </c>
      <c r="D10" s="47" t="s">
        <v>730</v>
      </c>
      <c r="E10" s="47" t="s">
        <v>731</v>
      </c>
      <c r="F10" s="47" t="s">
        <v>732</v>
      </c>
      <c r="G10" s="47" t="s">
        <v>733</v>
      </c>
      <c r="H10" s="47" t="s">
        <v>734</v>
      </c>
      <c r="I10" s="47" t="s">
        <v>638</v>
      </c>
      <c r="J10" s="47" t="s">
        <v>735</v>
      </c>
    </row>
    <row r="14" spans="1:10" ht="15" customHeight="1" x14ac:dyDescent="0.25">
      <c r="A14" s="113" t="s">
        <v>736</v>
      </c>
      <c r="B14" s="113"/>
      <c r="C14" s="113"/>
      <c r="D14" s="113"/>
      <c r="E14" s="113"/>
      <c r="F14" s="113"/>
      <c r="G14" s="113"/>
      <c r="H14" s="113"/>
      <c r="I14" s="113"/>
      <c r="J14" s="113"/>
    </row>
    <row r="15" spans="1:10" ht="15" customHeight="1" x14ac:dyDescent="0.25">
      <c r="A15" s="2" t="s">
        <v>737</v>
      </c>
      <c r="B15" s="131" t="s">
        <v>738</v>
      </c>
      <c r="C15" s="131"/>
      <c r="D15" s="131"/>
      <c r="E15" s="131"/>
      <c r="F15" s="131"/>
      <c r="G15" s="131"/>
      <c r="H15" s="131"/>
      <c r="I15" s="131"/>
      <c r="J15" s="131"/>
    </row>
    <row r="16" spans="1:10" ht="15" customHeight="1" x14ac:dyDescent="0.25">
      <c r="A16" s="2" t="s">
        <v>739</v>
      </c>
      <c r="B16" s="131" t="s">
        <v>40</v>
      </c>
      <c r="C16" s="131"/>
      <c r="D16" s="131"/>
      <c r="E16" s="131"/>
      <c r="F16" s="131"/>
      <c r="G16" s="131"/>
      <c r="H16" s="131"/>
      <c r="I16" s="131"/>
      <c r="J16" s="131"/>
    </row>
    <row r="17" spans="1:10" ht="15" customHeight="1" x14ac:dyDescent="0.25">
      <c r="A17" s="2" t="s">
        <v>740</v>
      </c>
      <c r="B17" s="131" t="e" vm="1">
        <f>IF(#REF!="","No File",HYPERLINK(#REF!,"View File"))</f>
        <v>#REF!</v>
      </c>
      <c r="C17" s="131"/>
      <c r="D17" s="131"/>
      <c r="E17" s="131"/>
      <c r="F17" s="131"/>
      <c r="G17" s="131"/>
      <c r="H17" s="131"/>
      <c r="I17" s="131"/>
      <c r="J17" s="131"/>
    </row>
    <row r="18" spans="1:10" ht="15" customHeight="1" x14ac:dyDescent="0.25">
      <c r="A18" s="2" t="s">
        <v>741</v>
      </c>
      <c r="B18" s="131">
        <f>IFERROR(#REF!/#REF!,0)</f>
        <v>0</v>
      </c>
      <c r="C18" s="131"/>
      <c r="D18" s="131"/>
      <c r="E18" s="131"/>
      <c r="F18" s="131"/>
      <c r="G18" s="131"/>
      <c r="H18" s="131"/>
      <c r="I18" s="131"/>
      <c r="J18" s="131"/>
    </row>
    <row r="19" spans="1:10" ht="15" customHeight="1" x14ac:dyDescent="0.25">
      <c r="A19" s="2" t="s">
        <v>742</v>
      </c>
      <c r="B19" s="131" t="e" vm="1">
        <f>IF(#REF!&gt;=0.75,"Proficient",IF(#REF!&gt;=0.5,"Nearly Proficient",IF(#REF!&gt;=0.25,"Low Proficient","Not Proficient")))</f>
        <v>#REF!</v>
      </c>
      <c r="C19" s="131"/>
      <c r="D19" s="131"/>
      <c r="E19" s="131"/>
      <c r="F19" s="131"/>
      <c r="G19" s="131"/>
      <c r="H19" s="131"/>
      <c r="I19" s="131"/>
      <c r="J19" s="131"/>
    </row>
    <row r="22" spans="1:10" ht="15" customHeight="1" x14ac:dyDescent="0.25">
      <c r="A22" s="113" t="s">
        <v>743</v>
      </c>
      <c r="B22" s="113"/>
      <c r="C22" s="113"/>
      <c r="D22" s="113"/>
      <c r="E22" s="113"/>
      <c r="F22" s="113"/>
      <c r="G22" s="113"/>
      <c r="H22" s="113"/>
      <c r="I22" s="113"/>
      <c r="J22" s="113"/>
    </row>
    <row r="23" spans="1:10" ht="15" customHeight="1" x14ac:dyDescent="0.25">
      <c r="A23" s="69" t="s">
        <v>437</v>
      </c>
      <c r="B23" s="69" t="s">
        <v>438</v>
      </c>
      <c r="C23" s="69" t="s">
        <v>744</v>
      </c>
      <c r="D23" s="69" t="s">
        <v>745</v>
      </c>
      <c r="E23" s="69" t="s">
        <v>746</v>
      </c>
      <c r="F23" s="69" t="s">
        <v>747</v>
      </c>
      <c r="G23" s="69" t="s">
        <v>748</v>
      </c>
      <c r="H23" s="69" t="s">
        <v>651</v>
      </c>
      <c r="I23" s="69" t="s">
        <v>749</v>
      </c>
      <c r="J23" s="69" t="s">
        <v>471</v>
      </c>
    </row>
    <row r="24" spans="1:10" ht="23.25" customHeight="1" x14ac:dyDescent="0.25">
      <c r="A24" s="47">
        <v>1</v>
      </c>
      <c r="B24" s="47" t="s">
        <v>750</v>
      </c>
      <c r="C24" s="47" t="s">
        <v>751</v>
      </c>
      <c r="D24" s="47" t="s">
        <v>752</v>
      </c>
      <c r="E24" s="47" t="s">
        <v>694</v>
      </c>
      <c r="F24" s="47" t="s">
        <v>753</v>
      </c>
      <c r="G24" s="47" t="s">
        <v>754</v>
      </c>
      <c r="H24" s="47" t="s">
        <v>755</v>
      </c>
      <c r="I24" s="47" t="s">
        <v>630</v>
      </c>
      <c r="J24" s="47" t="s">
        <v>756</v>
      </c>
    </row>
    <row r="25" spans="1:10" ht="23.25" customHeight="1" x14ac:dyDescent="0.25">
      <c r="A25" s="47">
        <v>2</v>
      </c>
      <c r="B25" s="47" t="s">
        <v>757</v>
      </c>
      <c r="C25" s="47" t="s">
        <v>758</v>
      </c>
      <c r="D25" s="47" t="s">
        <v>759</v>
      </c>
      <c r="E25" s="47" t="s">
        <v>760</v>
      </c>
      <c r="F25" s="47" t="s">
        <v>761</v>
      </c>
      <c r="G25" s="47" t="s">
        <v>762</v>
      </c>
      <c r="H25" s="47" t="s">
        <v>763</v>
      </c>
      <c r="I25" s="47" t="s">
        <v>630</v>
      </c>
      <c r="J25" s="47"/>
    </row>
    <row r="26" spans="1:10" ht="23.25" customHeight="1" x14ac:dyDescent="0.25">
      <c r="A26" s="47">
        <v>3</v>
      </c>
      <c r="B26" s="47" t="s">
        <v>764</v>
      </c>
      <c r="C26" s="47" t="s">
        <v>765</v>
      </c>
      <c r="D26" s="47" t="s">
        <v>766</v>
      </c>
      <c r="E26" s="47" t="s">
        <v>767</v>
      </c>
      <c r="F26" s="47" t="s">
        <v>768</v>
      </c>
      <c r="G26" s="47" t="s">
        <v>769</v>
      </c>
      <c r="H26" s="47" t="s">
        <v>770</v>
      </c>
      <c r="I26" s="47" t="s">
        <v>630</v>
      </c>
      <c r="J26" s="47" t="s">
        <v>771</v>
      </c>
    </row>
    <row r="27" spans="1:10" ht="23.25" customHeight="1" x14ac:dyDescent="0.25">
      <c r="A27" s="47">
        <v>4</v>
      </c>
      <c r="B27" s="47" t="s">
        <v>772</v>
      </c>
      <c r="C27" s="47" t="s">
        <v>773</v>
      </c>
      <c r="D27" s="47" t="s">
        <v>774</v>
      </c>
      <c r="E27" s="47" t="s">
        <v>775</v>
      </c>
      <c r="F27" s="47" t="s">
        <v>776</v>
      </c>
      <c r="G27" s="47" t="s">
        <v>777</v>
      </c>
      <c r="H27" s="47" t="s">
        <v>778</v>
      </c>
      <c r="I27" s="47" t="s">
        <v>630</v>
      </c>
      <c r="J27" s="47"/>
    </row>
    <row r="28" spans="1:10" ht="23.25" customHeight="1" x14ac:dyDescent="0.25">
      <c r="A28" s="47">
        <v>5</v>
      </c>
      <c r="B28" s="47" t="s">
        <v>779</v>
      </c>
      <c r="C28" s="47" t="s">
        <v>780</v>
      </c>
      <c r="D28" s="47" t="s">
        <v>781</v>
      </c>
      <c r="E28" s="47" t="s">
        <v>782</v>
      </c>
      <c r="F28" s="47" t="s">
        <v>783</v>
      </c>
      <c r="G28" s="47" t="s">
        <v>784</v>
      </c>
      <c r="H28" s="47" t="s">
        <v>785</v>
      </c>
      <c r="I28" s="47" t="s">
        <v>630</v>
      </c>
      <c r="J28" s="47" t="s">
        <v>786</v>
      </c>
    </row>
    <row r="29" spans="1:10" ht="15" customHeight="1" x14ac:dyDescent="0.25">
      <c r="A29" s="47">
        <v>6</v>
      </c>
      <c r="B29" s="47" t="s">
        <v>787</v>
      </c>
      <c r="C29" s="47" t="s">
        <v>788</v>
      </c>
      <c r="D29" s="47" t="s">
        <v>789</v>
      </c>
      <c r="E29" s="47" t="s">
        <v>790</v>
      </c>
      <c r="F29" s="47" t="s">
        <v>791</v>
      </c>
      <c r="G29" s="47" t="s">
        <v>792</v>
      </c>
      <c r="H29" s="47" t="s">
        <v>793</v>
      </c>
      <c r="I29" s="47" t="s">
        <v>630</v>
      </c>
      <c r="J29" s="47"/>
    </row>
    <row r="30" spans="1:10" ht="23.25" customHeight="1" x14ac:dyDescent="0.25">
      <c r="A30" s="47">
        <v>7</v>
      </c>
      <c r="B30" s="47" t="s">
        <v>794</v>
      </c>
      <c r="C30" s="47" t="s">
        <v>795</v>
      </c>
      <c r="D30" s="47" t="s">
        <v>796</v>
      </c>
      <c r="E30" s="47" t="s">
        <v>797</v>
      </c>
      <c r="F30" s="47" t="s">
        <v>798</v>
      </c>
      <c r="G30" s="47" t="s">
        <v>799</v>
      </c>
      <c r="H30" s="47" t="s">
        <v>800</v>
      </c>
      <c r="I30" s="47" t="s">
        <v>630</v>
      </c>
      <c r="J30" s="47"/>
    </row>
    <row r="31" spans="1:10" ht="23.25" customHeight="1" x14ac:dyDescent="0.25">
      <c r="A31" s="47">
        <v>8</v>
      </c>
      <c r="B31" s="47" t="s">
        <v>801</v>
      </c>
      <c r="C31" s="47" t="s">
        <v>802</v>
      </c>
      <c r="D31" s="47" t="s">
        <v>803</v>
      </c>
      <c r="E31" s="47" t="s">
        <v>804</v>
      </c>
      <c r="F31" s="47" t="s">
        <v>805</v>
      </c>
      <c r="G31" s="47" t="s">
        <v>806</v>
      </c>
      <c r="H31" s="47" t="s">
        <v>807</v>
      </c>
      <c r="I31" s="47" t="s">
        <v>630</v>
      </c>
      <c r="J31" s="47"/>
    </row>
    <row r="32" spans="1:10" ht="23.25" customHeight="1" x14ac:dyDescent="0.25">
      <c r="A32" s="47">
        <v>9</v>
      </c>
      <c r="B32" s="47" t="s">
        <v>808</v>
      </c>
      <c r="C32" s="47" t="s">
        <v>809</v>
      </c>
      <c r="D32" s="47" t="s">
        <v>810</v>
      </c>
      <c r="E32" s="47" t="s">
        <v>811</v>
      </c>
      <c r="F32" s="47" t="s">
        <v>812</v>
      </c>
      <c r="G32" s="47" t="s">
        <v>813</v>
      </c>
      <c r="H32" s="47" t="s">
        <v>814</v>
      </c>
      <c r="I32" s="47" t="s">
        <v>815</v>
      </c>
      <c r="J32" s="47"/>
    </row>
    <row r="33" spans="1:10" ht="15" customHeight="1" x14ac:dyDescent="0.25">
      <c r="A33" s="47">
        <v>10</v>
      </c>
      <c r="B33" s="47" t="s">
        <v>816</v>
      </c>
      <c r="C33" s="47" t="s">
        <v>817</v>
      </c>
      <c r="D33" s="47" t="s">
        <v>818</v>
      </c>
      <c r="E33" s="47" t="s">
        <v>819</v>
      </c>
      <c r="F33" s="47" t="s">
        <v>820</v>
      </c>
      <c r="G33" s="47" t="s">
        <v>821</v>
      </c>
      <c r="H33" s="47" t="s">
        <v>822</v>
      </c>
      <c r="I33" s="47" t="s">
        <v>823</v>
      </c>
      <c r="J33" s="47"/>
    </row>
  </sheetData>
  <mergeCells count="8">
    <mergeCell ref="B18:J18"/>
    <mergeCell ref="B19:J19"/>
    <mergeCell ref="A22:J22"/>
    <mergeCell ref="A1:J2"/>
    <mergeCell ref="A14:J14"/>
    <mergeCell ref="B15:J15"/>
    <mergeCell ref="B16:J16"/>
    <mergeCell ref="B17:J1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30" customWidth="1"/>
    <col min="3" max="4" width="28" customWidth="1"/>
    <col min="5" max="5" width="12" customWidth="1"/>
    <col min="6" max="6" width="42" customWidth="1"/>
    <col min="7" max="7" width="18" customWidth="1"/>
    <col min="8" max="8" width="30" customWidth="1"/>
  </cols>
  <sheetData>
    <row r="1" spans="1:8" ht="15" customHeight="1" x14ac:dyDescent="0.25">
      <c r="A1" s="128" t="s">
        <v>824</v>
      </c>
      <c r="B1" s="128"/>
      <c r="C1" s="128"/>
      <c r="D1" s="128"/>
      <c r="E1" s="128"/>
      <c r="F1" s="128"/>
      <c r="G1" s="128"/>
      <c r="H1" s="128"/>
    </row>
    <row r="2" spans="1:8" ht="15" customHeight="1" x14ac:dyDescent="0.25">
      <c r="A2" s="128"/>
      <c r="B2" s="128"/>
      <c r="C2" s="128"/>
      <c r="D2" s="128"/>
      <c r="E2" s="128"/>
      <c r="F2" s="128"/>
      <c r="G2" s="128"/>
      <c r="H2" s="128"/>
    </row>
    <row r="4" spans="1:8" ht="27.75" customHeight="1" x14ac:dyDescent="0.25">
      <c r="A4" s="89" t="s">
        <v>825</v>
      </c>
      <c r="B4" s="89" t="s">
        <v>826</v>
      </c>
      <c r="C4" s="89" t="s">
        <v>827</v>
      </c>
      <c r="D4" s="89" t="s">
        <v>828</v>
      </c>
      <c r="E4" s="89" t="s">
        <v>749</v>
      </c>
      <c r="F4" s="89" t="s">
        <v>471</v>
      </c>
      <c r="G4" s="89" t="s">
        <v>829</v>
      </c>
      <c r="H4" s="89" t="s">
        <v>830</v>
      </c>
    </row>
    <row r="5" spans="1:8" ht="23.25" customHeight="1" x14ac:dyDescent="0.25">
      <c r="A5" s="47" t="s">
        <v>522</v>
      </c>
      <c r="B5" s="47" t="s">
        <v>694</v>
      </c>
      <c r="C5" s="47" t="s">
        <v>692</v>
      </c>
      <c r="D5" s="47" t="s">
        <v>831</v>
      </c>
      <c r="E5" s="47" t="s">
        <v>630</v>
      </c>
      <c r="F5" s="47" t="s">
        <v>832</v>
      </c>
      <c r="G5" s="47" t="s">
        <v>833</v>
      </c>
      <c r="H5" s="47" t="s">
        <v>834</v>
      </c>
    </row>
    <row r="6" spans="1:8" ht="23.25" customHeight="1" x14ac:dyDescent="0.25">
      <c r="A6" s="47" t="s">
        <v>523</v>
      </c>
      <c r="B6" s="47" t="s">
        <v>738</v>
      </c>
      <c r="C6" s="47" t="s">
        <v>835</v>
      </c>
      <c r="D6" s="47" t="s">
        <v>836</v>
      </c>
      <c r="E6" s="47" t="s">
        <v>630</v>
      </c>
      <c r="F6" s="47" t="s">
        <v>837</v>
      </c>
      <c r="G6" s="47" t="s">
        <v>838</v>
      </c>
      <c r="H6" s="47" t="s">
        <v>839</v>
      </c>
    </row>
    <row r="7" spans="1:8" ht="23.25" customHeight="1" x14ac:dyDescent="0.25">
      <c r="A7" s="47" t="s">
        <v>524</v>
      </c>
      <c r="B7" s="47" t="s">
        <v>840</v>
      </c>
      <c r="C7" s="47" t="s">
        <v>699</v>
      </c>
      <c r="D7" s="47" t="s">
        <v>107</v>
      </c>
      <c r="E7" s="47" t="s">
        <v>630</v>
      </c>
      <c r="F7" s="47" t="s">
        <v>841</v>
      </c>
      <c r="G7" s="47" t="s">
        <v>842</v>
      </c>
      <c r="H7" s="47" t="s">
        <v>843</v>
      </c>
    </row>
    <row r="8" spans="1:8" ht="23.25" customHeight="1" x14ac:dyDescent="0.25">
      <c r="A8" s="47" t="s">
        <v>99</v>
      </c>
      <c r="B8" s="47" t="s">
        <v>844</v>
      </c>
      <c r="C8" s="47" t="s">
        <v>699</v>
      </c>
      <c r="D8" s="47" t="s">
        <v>12</v>
      </c>
      <c r="E8" s="47" t="s">
        <v>630</v>
      </c>
      <c r="F8" s="47" t="s">
        <v>845</v>
      </c>
      <c r="G8" s="47" t="s">
        <v>846</v>
      </c>
      <c r="H8" s="47" t="s">
        <v>847</v>
      </c>
    </row>
    <row r="9" spans="1:8" ht="15" customHeight="1" x14ac:dyDescent="0.25">
      <c r="A9" s="47" t="s">
        <v>100</v>
      </c>
      <c r="B9" s="47" t="s">
        <v>100</v>
      </c>
      <c r="C9" s="47" t="s">
        <v>699</v>
      </c>
      <c r="D9" s="47" t="s">
        <v>106</v>
      </c>
      <c r="E9" s="47" t="s">
        <v>630</v>
      </c>
      <c r="F9" s="47" t="s">
        <v>848</v>
      </c>
      <c r="G9" s="47" t="s">
        <v>846</v>
      </c>
      <c r="H9" s="47" t="s">
        <v>849</v>
      </c>
    </row>
    <row r="10" spans="1:8" ht="15" customHeight="1" x14ac:dyDescent="0.25">
      <c r="A10" s="47" t="s">
        <v>507</v>
      </c>
      <c r="B10" s="47" t="s">
        <v>507</v>
      </c>
      <c r="C10" s="47" t="s">
        <v>699</v>
      </c>
      <c r="D10" s="47" t="s">
        <v>16</v>
      </c>
      <c r="E10" s="47" t="s">
        <v>630</v>
      </c>
      <c r="F10" s="47" t="s">
        <v>850</v>
      </c>
      <c r="G10" s="47" t="s">
        <v>846</v>
      </c>
      <c r="H10" s="47" t="s">
        <v>851</v>
      </c>
    </row>
    <row r="11" spans="1:8" ht="23.25" customHeight="1" x14ac:dyDescent="0.25">
      <c r="A11" s="47" t="s">
        <v>526</v>
      </c>
      <c r="B11" s="47" t="s">
        <v>852</v>
      </c>
      <c r="C11" s="47" t="s">
        <v>699</v>
      </c>
      <c r="D11" s="47" t="s">
        <v>534</v>
      </c>
      <c r="E11" s="47" t="s">
        <v>630</v>
      </c>
      <c r="F11" s="47" t="s">
        <v>853</v>
      </c>
      <c r="G11" s="47" t="s">
        <v>846</v>
      </c>
      <c r="H11" s="47" t="s">
        <v>854</v>
      </c>
    </row>
    <row r="12" spans="1:8" ht="15" customHeight="1" x14ac:dyDescent="0.25">
      <c r="A12" s="47" t="s">
        <v>3</v>
      </c>
      <c r="B12" s="47" t="s">
        <v>3</v>
      </c>
      <c r="C12" s="47" t="s">
        <v>699</v>
      </c>
      <c r="D12" s="47" t="s">
        <v>22</v>
      </c>
      <c r="E12" s="47" t="s">
        <v>630</v>
      </c>
      <c r="F12" s="47" t="s">
        <v>855</v>
      </c>
      <c r="G12" s="47" t="s">
        <v>846</v>
      </c>
      <c r="H12" s="47" t="s">
        <v>856</v>
      </c>
    </row>
    <row r="13" spans="1:8" ht="15" customHeight="1" x14ac:dyDescent="0.25">
      <c r="A13" s="47" t="s">
        <v>558</v>
      </c>
      <c r="B13" s="47" t="s">
        <v>7</v>
      </c>
      <c r="C13" s="47" t="s">
        <v>699</v>
      </c>
      <c r="D13" s="47" t="s">
        <v>857</v>
      </c>
      <c r="E13" s="47" t="s">
        <v>630</v>
      </c>
      <c r="F13" s="47" t="s">
        <v>858</v>
      </c>
      <c r="G13" s="47" t="s">
        <v>859</v>
      </c>
      <c r="H13" s="47" t="s">
        <v>860</v>
      </c>
    </row>
    <row r="14" spans="1:8" ht="15" customHeight="1" x14ac:dyDescent="0.25">
      <c r="A14" s="47" t="s">
        <v>528</v>
      </c>
      <c r="B14" s="47" t="s">
        <v>511</v>
      </c>
      <c r="C14" s="47" t="s">
        <v>699</v>
      </c>
      <c r="D14" s="47" t="s">
        <v>861</v>
      </c>
      <c r="E14" s="47" t="s">
        <v>630</v>
      </c>
      <c r="F14" s="47" t="s">
        <v>862</v>
      </c>
      <c r="G14" s="47" t="s">
        <v>859</v>
      </c>
      <c r="H14" s="47" t="s">
        <v>863</v>
      </c>
    </row>
    <row r="15" spans="1:8" ht="15" customHeight="1" x14ac:dyDescent="0.25">
      <c r="A15" s="47" t="s">
        <v>559</v>
      </c>
      <c r="B15" s="47" t="s">
        <v>508</v>
      </c>
      <c r="C15" s="47" t="s">
        <v>699</v>
      </c>
      <c r="D15" s="47" t="s">
        <v>864</v>
      </c>
      <c r="E15" s="47" t="s">
        <v>630</v>
      </c>
      <c r="F15" s="47" t="s">
        <v>865</v>
      </c>
      <c r="G15" s="47" t="s">
        <v>859</v>
      </c>
      <c r="H15" s="47" t="s">
        <v>863</v>
      </c>
    </row>
    <row r="16" spans="1:8" ht="15" customHeight="1" x14ac:dyDescent="0.25">
      <c r="A16" s="47" t="s">
        <v>4</v>
      </c>
      <c r="B16" s="47" t="s">
        <v>866</v>
      </c>
      <c r="C16" s="47" t="s">
        <v>867</v>
      </c>
      <c r="D16" s="47">
        <f>IFERROR(K5/J5,0)</f>
        <v>0</v>
      </c>
      <c r="E16" s="47" t="s">
        <v>631</v>
      </c>
      <c r="F16" s="47" t="s">
        <v>868</v>
      </c>
      <c r="G16" s="47" t="s">
        <v>869</v>
      </c>
      <c r="H16" s="47" t="s">
        <v>870</v>
      </c>
    </row>
    <row r="17" spans="1:8" ht="15" customHeight="1" x14ac:dyDescent="0.25">
      <c r="A17" s="47" t="s">
        <v>530</v>
      </c>
      <c r="B17" s="47" t="s">
        <v>866</v>
      </c>
      <c r="C17" s="47" t="s">
        <v>867</v>
      </c>
      <c r="D17" s="47" t="s">
        <v>517</v>
      </c>
      <c r="E17" s="47" t="s">
        <v>631</v>
      </c>
      <c r="F17" s="47" t="s">
        <v>871</v>
      </c>
      <c r="G17" s="47" t="s">
        <v>869</v>
      </c>
      <c r="H17" s="47" t="s">
        <v>872</v>
      </c>
    </row>
    <row r="18" spans="1:8" ht="15" customHeight="1" x14ac:dyDescent="0.25">
      <c r="A18" s="47" t="s">
        <v>560</v>
      </c>
      <c r="B18" s="47" t="s">
        <v>873</v>
      </c>
      <c r="C18" s="47" t="s">
        <v>699</v>
      </c>
      <c r="D18" s="47" t="s">
        <v>874</v>
      </c>
      <c r="E18" s="47" t="s">
        <v>630</v>
      </c>
      <c r="F18" s="47" t="s">
        <v>875</v>
      </c>
      <c r="G18" s="47" t="s">
        <v>859</v>
      </c>
      <c r="H18" s="47" t="s">
        <v>876</v>
      </c>
    </row>
    <row r="19" spans="1:8" ht="15" customHeight="1" x14ac:dyDescent="0.25">
      <c r="A19" s="47" t="s">
        <v>561</v>
      </c>
      <c r="B19" s="47" t="s">
        <v>877</v>
      </c>
      <c r="C19" s="47" t="s">
        <v>699</v>
      </c>
      <c r="D19" s="47" t="s">
        <v>878</v>
      </c>
      <c r="E19" s="47" t="s">
        <v>631</v>
      </c>
      <c r="F19" s="47" t="s">
        <v>879</v>
      </c>
      <c r="G19" s="47" t="s">
        <v>880</v>
      </c>
      <c r="H19" s="47" t="s">
        <v>881</v>
      </c>
    </row>
    <row r="20" spans="1:8" ht="23.25" customHeight="1" x14ac:dyDescent="0.25">
      <c r="A20" s="47" t="s">
        <v>562</v>
      </c>
      <c r="B20" s="47" t="s">
        <v>882</v>
      </c>
      <c r="C20" s="47" t="s">
        <v>699</v>
      </c>
      <c r="D20" s="47" t="s">
        <v>883</v>
      </c>
      <c r="E20" s="47" t="s">
        <v>631</v>
      </c>
      <c r="F20" s="47" t="s">
        <v>884</v>
      </c>
      <c r="G20" s="47" t="s">
        <v>880</v>
      </c>
      <c r="H20" s="47" t="s">
        <v>885</v>
      </c>
    </row>
    <row r="21" spans="1:8" ht="34.5" customHeight="1" x14ac:dyDescent="0.25">
      <c r="A21" s="47" t="s">
        <v>531</v>
      </c>
      <c r="B21" s="47" t="s">
        <v>886</v>
      </c>
      <c r="C21" s="47" t="s">
        <v>887</v>
      </c>
      <c r="D21" s="47" t="s">
        <v>888</v>
      </c>
      <c r="E21" s="47" t="s">
        <v>889</v>
      </c>
      <c r="F21" s="47" t="s">
        <v>890</v>
      </c>
      <c r="G21" s="47" t="s">
        <v>891</v>
      </c>
      <c r="H21" s="47" t="s">
        <v>892</v>
      </c>
    </row>
    <row r="22" spans="1:8" ht="34.5" customHeight="1" x14ac:dyDescent="0.25">
      <c r="A22" s="47" t="s">
        <v>532</v>
      </c>
      <c r="B22" s="47" t="s">
        <v>893</v>
      </c>
      <c r="C22" s="47" t="s">
        <v>887</v>
      </c>
      <c r="D22" s="47" t="s">
        <v>894</v>
      </c>
      <c r="E22" s="47" t="s">
        <v>889</v>
      </c>
      <c r="F22" s="47" t="s">
        <v>895</v>
      </c>
      <c r="G22" s="47" t="s">
        <v>896</v>
      </c>
      <c r="H22" s="47" t="s">
        <v>897</v>
      </c>
    </row>
    <row r="23" spans="1:8" ht="15" customHeight="1" x14ac:dyDescent="0.25">
      <c r="A23" s="47" t="s">
        <v>56</v>
      </c>
      <c r="B23" s="47" t="s">
        <v>40</v>
      </c>
      <c r="C23" s="47" t="s">
        <v>898</v>
      </c>
      <c r="D23" s="47" t="s">
        <v>40</v>
      </c>
      <c r="E23" s="47" t="s">
        <v>630</v>
      </c>
      <c r="F23" s="47" t="s">
        <v>899</v>
      </c>
      <c r="G23" s="47" t="s">
        <v>846</v>
      </c>
      <c r="H23" s="47" t="s">
        <v>900</v>
      </c>
    </row>
    <row r="24" spans="1:8" ht="15" customHeight="1" x14ac:dyDescent="0.25">
      <c r="A24" s="47" t="s">
        <v>59</v>
      </c>
      <c r="B24" s="47" t="s">
        <v>59</v>
      </c>
      <c r="C24" s="47" t="s">
        <v>699</v>
      </c>
      <c r="D24" s="47" t="s">
        <v>901</v>
      </c>
      <c r="E24" s="47" t="s">
        <v>631</v>
      </c>
      <c r="F24" s="47" t="s">
        <v>902</v>
      </c>
      <c r="G24" s="47" t="s">
        <v>880</v>
      </c>
      <c r="H24" s="47" t="s">
        <v>903</v>
      </c>
    </row>
  </sheetData>
  <mergeCells count="1">
    <mergeCell ref="A1:H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4" customWidth="1"/>
    <col min="3" max="3" width="36" customWidth="1"/>
    <col min="4" max="4" width="16" customWidth="1"/>
    <col min="5" max="5" width="14" customWidth="1"/>
    <col min="6" max="6" width="18" customWidth="1"/>
    <col min="7" max="7" width="34" customWidth="1"/>
    <col min="8" max="8" width="42" customWidth="1"/>
  </cols>
  <sheetData>
    <row r="1" spans="1:8" ht="15" customHeight="1" x14ac:dyDescent="0.25">
      <c r="A1" s="128" t="s">
        <v>904</v>
      </c>
      <c r="B1" s="128"/>
      <c r="C1" s="128"/>
      <c r="D1" s="128"/>
      <c r="E1" s="128"/>
      <c r="F1" s="128"/>
      <c r="G1" s="128"/>
      <c r="H1" s="128"/>
    </row>
    <row r="2" spans="1:8" ht="15" customHeight="1" x14ac:dyDescent="0.25">
      <c r="A2" s="128"/>
      <c r="B2" s="128"/>
      <c r="C2" s="128"/>
      <c r="D2" s="128"/>
      <c r="E2" s="128"/>
      <c r="F2" s="128"/>
      <c r="G2" s="128"/>
      <c r="H2" s="128"/>
    </row>
    <row r="4" spans="1:8" ht="27.75" customHeight="1" x14ac:dyDescent="0.25">
      <c r="A4" s="90" t="s">
        <v>905</v>
      </c>
      <c r="B4" s="90" t="s">
        <v>906</v>
      </c>
      <c r="C4" s="90" t="s">
        <v>907</v>
      </c>
      <c r="D4" s="90" t="s">
        <v>908</v>
      </c>
      <c r="E4" s="90" t="s">
        <v>441</v>
      </c>
      <c r="F4" s="90" t="s">
        <v>909</v>
      </c>
      <c r="G4" s="90" t="s">
        <v>910</v>
      </c>
      <c r="H4" s="90" t="s">
        <v>911</v>
      </c>
    </row>
    <row r="5" spans="1:8" ht="15" customHeight="1" x14ac:dyDescent="0.25">
      <c r="A5" s="47">
        <v>1</v>
      </c>
      <c r="B5" s="47" t="s">
        <v>912</v>
      </c>
      <c r="C5" s="47" t="s">
        <v>913</v>
      </c>
      <c r="D5" s="47" t="s">
        <v>638</v>
      </c>
      <c r="E5" s="47" t="s">
        <v>914</v>
      </c>
      <c r="F5" s="47"/>
      <c r="G5" s="47"/>
      <c r="H5" s="47"/>
    </row>
    <row r="6" spans="1:8" ht="15" customHeight="1" x14ac:dyDescent="0.25">
      <c r="A6" s="47">
        <v>2</v>
      </c>
      <c r="B6" s="47" t="s">
        <v>915</v>
      </c>
      <c r="C6" s="47" t="s">
        <v>916</v>
      </c>
      <c r="D6" s="47" t="s">
        <v>55</v>
      </c>
      <c r="E6" s="47" t="s">
        <v>914</v>
      </c>
      <c r="F6" s="47"/>
      <c r="G6" s="47"/>
      <c r="H6" s="47"/>
    </row>
    <row r="7" spans="1:8" ht="15" customHeight="1" x14ac:dyDescent="0.25">
      <c r="A7" s="47">
        <v>3</v>
      </c>
      <c r="B7" s="47" t="s">
        <v>917</v>
      </c>
      <c r="C7" s="47" t="s">
        <v>918</v>
      </c>
      <c r="D7" s="47" t="s">
        <v>55</v>
      </c>
      <c r="E7" s="47" t="s">
        <v>914</v>
      </c>
      <c r="F7" s="47"/>
      <c r="G7" s="47"/>
      <c r="H7" s="47"/>
    </row>
    <row r="8" spans="1:8" ht="23.25" customHeight="1" x14ac:dyDescent="0.25">
      <c r="A8" s="47">
        <v>4</v>
      </c>
      <c r="B8" s="47" t="s">
        <v>919</v>
      </c>
      <c r="C8" s="47" t="s">
        <v>920</v>
      </c>
      <c r="D8" s="47" t="s">
        <v>638</v>
      </c>
      <c r="E8" s="47" t="s">
        <v>914</v>
      </c>
      <c r="F8" s="47"/>
      <c r="G8" s="47"/>
      <c r="H8" s="47"/>
    </row>
    <row r="9" spans="1:8" ht="23.25" customHeight="1" x14ac:dyDescent="0.25">
      <c r="A9" s="47">
        <v>5</v>
      </c>
      <c r="B9" s="47" t="s">
        <v>921</v>
      </c>
      <c r="C9" s="47" t="s">
        <v>922</v>
      </c>
      <c r="D9" s="47" t="s">
        <v>638</v>
      </c>
      <c r="E9" s="47" t="s">
        <v>914</v>
      </c>
      <c r="F9" s="47"/>
      <c r="G9" s="47"/>
      <c r="H9" s="47"/>
    </row>
    <row r="10" spans="1:8" ht="15" customHeight="1" x14ac:dyDescent="0.25">
      <c r="A10" s="47">
        <v>6</v>
      </c>
      <c r="B10" s="47" t="s">
        <v>923</v>
      </c>
      <c r="C10" s="47" t="s">
        <v>924</v>
      </c>
      <c r="D10" s="47" t="s">
        <v>638</v>
      </c>
      <c r="E10" s="47" t="s">
        <v>914</v>
      </c>
      <c r="F10" s="47"/>
      <c r="G10" s="47"/>
      <c r="H10" s="47"/>
    </row>
    <row r="11" spans="1:8" ht="23.25" customHeight="1" x14ac:dyDescent="0.25">
      <c r="A11" s="47">
        <v>7</v>
      </c>
      <c r="B11" s="47" t="s">
        <v>925</v>
      </c>
      <c r="C11" s="47" t="s">
        <v>926</v>
      </c>
      <c r="D11" s="47" t="s">
        <v>638</v>
      </c>
      <c r="E11" s="47" t="s">
        <v>914</v>
      </c>
      <c r="F11" s="47"/>
      <c r="G11" s="47"/>
      <c r="H11" s="47"/>
    </row>
    <row r="12" spans="1:8" ht="15" customHeight="1" x14ac:dyDescent="0.25">
      <c r="A12" s="47">
        <v>8</v>
      </c>
      <c r="B12" s="47" t="s">
        <v>927</v>
      </c>
      <c r="C12" s="47" t="s">
        <v>928</v>
      </c>
      <c r="D12" s="47" t="s">
        <v>643</v>
      </c>
      <c r="E12" s="47" t="s">
        <v>914</v>
      </c>
      <c r="F12" s="47"/>
      <c r="G12" s="47"/>
      <c r="H12" s="47"/>
    </row>
    <row r="13" spans="1:8" ht="15" customHeight="1" x14ac:dyDescent="0.25">
      <c r="A13" s="47">
        <v>9</v>
      </c>
      <c r="B13" s="47" t="s">
        <v>929</v>
      </c>
      <c r="C13" s="47" t="s">
        <v>930</v>
      </c>
      <c r="D13" s="47" t="s">
        <v>638</v>
      </c>
      <c r="E13" s="47" t="s">
        <v>914</v>
      </c>
      <c r="F13" s="47"/>
      <c r="G13" s="47"/>
      <c r="H13" s="47"/>
    </row>
    <row r="14" spans="1:8" ht="23.25" customHeight="1" x14ac:dyDescent="0.25">
      <c r="A14" s="47">
        <v>10</v>
      </c>
      <c r="B14" s="47" t="s">
        <v>931</v>
      </c>
      <c r="C14" s="47" t="s">
        <v>932</v>
      </c>
      <c r="D14" s="47" t="s">
        <v>638</v>
      </c>
      <c r="E14" s="47" t="s">
        <v>914</v>
      </c>
      <c r="F14" s="47"/>
      <c r="G14" s="47"/>
      <c r="H14" s="47"/>
    </row>
    <row r="15" spans="1:8" ht="23.25" customHeight="1" x14ac:dyDescent="0.25">
      <c r="A15" s="47">
        <v>11</v>
      </c>
      <c r="B15" s="47" t="s">
        <v>933</v>
      </c>
      <c r="C15" s="47" t="s">
        <v>934</v>
      </c>
      <c r="D15" s="47" t="s">
        <v>638</v>
      </c>
      <c r="E15" s="47" t="s">
        <v>914</v>
      </c>
      <c r="F15" s="47"/>
      <c r="G15" s="47"/>
      <c r="H15" s="47"/>
    </row>
    <row r="16" spans="1:8" ht="15" customHeight="1" x14ac:dyDescent="0.25">
      <c r="A16" s="47">
        <v>12</v>
      </c>
      <c r="B16" s="47" t="s">
        <v>935</v>
      </c>
      <c r="C16" s="47" t="s">
        <v>936</v>
      </c>
      <c r="D16" s="47" t="s">
        <v>638</v>
      </c>
      <c r="E16" s="47" t="s">
        <v>914</v>
      </c>
      <c r="F16" s="47"/>
      <c r="G16" s="47"/>
      <c r="H16" s="47"/>
    </row>
  </sheetData>
  <mergeCells count="1">
    <mergeCell ref="A1:H2"/>
  </mergeCells>
  <conditionalFormatting sqref="E5:E100">
    <cfRule type="expression" dxfId="19" priority="2">
      <formula>$E5="Passed"</formula>
    </cfRule>
    <cfRule type="expression" dxfId="18" priority="3">
      <formula>$E5="Failed"</formula>
    </cfRule>
    <cfRule type="expression" dxfId="17" priority="4">
      <formula>$E5="Needs Fix"</formula>
    </cfRule>
    <cfRule type="expression" dxfId="16" priority="5">
      <formula>$E5="Pending"</formula>
    </cfRule>
  </conditionalFormatting>
  <dataValidations count="1">
    <dataValidation type="list" allowBlank="1" sqref="E5:E100" xr:uid="{00000000-0002-0000-0E00-000000000000}">
      <formula1>"Pending,Passed,Failed,Needs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59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4" width="18" customWidth="1"/>
    <col min="5" max="5" width="4" customWidth="1"/>
    <col min="6" max="8" width="18" customWidth="1"/>
    <col min="9" max="9" width="4" customWidth="1"/>
    <col min="10" max="13" width="18" customWidth="1"/>
    <col min="14" max="14" width="4" customWidth="1"/>
    <col min="27" max="28" width="13" hidden="1" customWidth="1"/>
  </cols>
  <sheetData>
    <row r="1" spans="1:28" ht="24" customHeight="1" x14ac:dyDescent="0.25">
      <c r="A1" s="125" t="s">
        <v>937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AA1" t="s">
        <v>81</v>
      </c>
      <c r="AB1" t="s">
        <v>2</v>
      </c>
    </row>
    <row r="2" spans="1:28" ht="24" customHeight="1" x14ac:dyDescent="0.2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AA2" t="s">
        <v>938</v>
      </c>
      <c r="AB2">
        <f>COUNTA(SBFP_Beneficiaries!B5:B104)</f>
        <v>6</v>
      </c>
    </row>
    <row r="3" spans="1:28" ht="24" customHeight="1" x14ac:dyDescent="0.2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AA3" t="s">
        <v>939</v>
      </c>
      <c r="AB3">
        <f>AVERAGE(SBFP_Beneficiaries!O5:O104)</f>
        <v>14.286460306667317</v>
      </c>
    </row>
    <row r="4" spans="1:28" ht="24" customHeight="1" x14ac:dyDescent="0.25">
      <c r="AA4" t="s">
        <v>940</v>
      </c>
      <c r="AB4">
        <f>AVERAGE(SBFP_Beneficiaries!P5:P104)</f>
        <v>0.56666666666666643</v>
      </c>
    </row>
    <row r="5" spans="1:28" ht="24" customHeight="1" x14ac:dyDescent="0.25">
      <c r="A5" s="77" t="s">
        <v>941</v>
      </c>
      <c r="B5" s="78"/>
      <c r="C5" s="78"/>
      <c r="D5" s="78"/>
      <c r="F5" s="49" t="s">
        <v>942</v>
      </c>
      <c r="G5" s="50"/>
      <c r="H5" s="50"/>
      <c r="J5" s="51" t="s">
        <v>943</v>
      </c>
      <c r="K5" s="52"/>
      <c r="L5" s="52"/>
      <c r="M5" s="52"/>
      <c r="AA5" t="s">
        <v>944</v>
      </c>
      <c r="AB5">
        <f>AVERAGE(SBFP_Beneficiaries!T5:T104)</f>
        <v>5.2499999999999998E-2</v>
      </c>
    </row>
    <row r="6" spans="1:28" ht="24" customHeight="1" x14ac:dyDescent="0.4">
      <c r="A6" s="78"/>
      <c r="B6" s="91">
        <f>AB2</f>
        <v>6</v>
      </c>
      <c r="C6" s="78"/>
      <c r="D6" s="78"/>
      <c r="F6" s="50"/>
      <c r="G6" s="92">
        <f>AB3</f>
        <v>14.286460306667317</v>
      </c>
      <c r="H6" s="50"/>
      <c r="J6" s="52"/>
      <c r="K6" s="93">
        <f>AB4</f>
        <v>0.56666666666666643</v>
      </c>
      <c r="L6" s="52"/>
      <c r="M6" s="52"/>
      <c r="AA6" t="s">
        <v>945</v>
      </c>
      <c r="AB6">
        <f>COUNTIF(SBFP_Feeding_Log!I5:I500,"Yes")</f>
        <v>78</v>
      </c>
    </row>
    <row r="7" spans="1:28" ht="24" customHeight="1" x14ac:dyDescent="0.25">
      <c r="A7" s="78"/>
      <c r="B7" s="78"/>
      <c r="C7" s="78"/>
      <c r="D7" s="78"/>
      <c r="F7" s="50"/>
      <c r="G7" s="50"/>
      <c r="H7" s="50"/>
      <c r="J7" s="52"/>
      <c r="K7" s="52"/>
      <c r="L7" s="52"/>
      <c r="M7" s="52"/>
      <c r="AA7" t="s">
        <v>946</v>
      </c>
      <c r="AB7">
        <f>COUNTIF(SBFP_Feeding_Log!I5:I500,"No")</f>
        <v>6</v>
      </c>
    </row>
    <row r="8" spans="1:28" ht="24" customHeight="1" x14ac:dyDescent="0.25">
      <c r="A8" s="81" t="s">
        <v>947</v>
      </c>
      <c r="B8" s="78"/>
      <c r="C8" s="78"/>
      <c r="D8" s="78"/>
      <c r="F8" s="64" t="s">
        <v>948</v>
      </c>
      <c r="G8" s="50"/>
      <c r="H8" s="50"/>
      <c r="J8" s="65" t="s">
        <v>949</v>
      </c>
      <c r="K8" s="52"/>
      <c r="L8" s="52"/>
      <c r="M8" s="52"/>
      <c r="AA8" t="s">
        <v>950</v>
      </c>
      <c r="AB8">
        <f>COUNTA(School_Inventory!A5:A104)</f>
        <v>6</v>
      </c>
    </row>
    <row r="9" spans="1:28" ht="24" customHeight="1" x14ac:dyDescent="0.25">
      <c r="AA9" t="s">
        <v>951</v>
      </c>
      <c r="AB9">
        <f>COUNTIF(School_Inventory!J5:J104,"Reorder")</f>
        <v>0</v>
      </c>
    </row>
    <row r="10" spans="1:28" ht="24" customHeight="1" x14ac:dyDescent="0.25">
      <c r="A10" s="57" t="s">
        <v>952</v>
      </c>
      <c r="B10" s="58"/>
      <c r="C10" s="58"/>
      <c r="D10" s="58"/>
      <c r="F10" s="75" t="s">
        <v>953</v>
      </c>
      <c r="G10" s="76"/>
      <c r="H10" s="76"/>
      <c r="J10" s="55" t="s">
        <v>954</v>
      </c>
      <c r="K10" s="56"/>
      <c r="L10" s="56"/>
      <c r="M10" s="56"/>
      <c r="AA10" t="s">
        <v>955</v>
      </c>
      <c r="AB10">
        <f>COUNTIF(School_Inventory!J5:J104,"Out of Stock")</f>
        <v>0</v>
      </c>
    </row>
    <row r="11" spans="1:28" ht="24" customHeight="1" x14ac:dyDescent="0.4">
      <c r="A11" s="58"/>
      <c r="B11" s="94">
        <f>AB5</f>
        <v>5.2499999999999998E-2</v>
      </c>
      <c r="C11" s="58"/>
      <c r="D11" s="58"/>
      <c r="F11" s="76"/>
      <c r="G11" s="79">
        <f>AB6</f>
        <v>78</v>
      </c>
      <c r="H11" s="76"/>
      <c r="J11" s="56"/>
      <c r="K11" s="62">
        <f>AB10+AB11</f>
        <v>17110</v>
      </c>
      <c r="L11" s="56"/>
      <c r="M11" s="56"/>
      <c r="AA11" t="s">
        <v>956</v>
      </c>
      <c r="AB11">
        <f>SUM(School_Inventory!P5:P104)</f>
        <v>17110</v>
      </c>
    </row>
    <row r="12" spans="1:28" ht="24" customHeight="1" x14ac:dyDescent="0.25">
      <c r="A12" s="58"/>
      <c r="B12" s="58"/>
      <c r="C12" s="58"/>
      <c r="D12" s="58"/>
      <c r="F12" s="76"/>
      <c r="G12" s="76"/>
      <c r="H12" s="76"/>
      <c r="J12" s="56"/>
      <c r="K12" s="56"/>
      <c r="L12" s="56"/>
      <c r="M12" s="56"/>
      <c r="AA12" t="s">
        <v>60</v>
      </c>
      <c r="AB12">
        <v>20</v>
      </c>
    </row>
    <row r="13" spans="1:28" ht="24" customHeight="1" x14ac:dyDescent="0.25">
      <c r="A13" s="68" t="s">
        <v>957</v>
      </c>
      <c r="B13" s="58"/>
      <c r="C13" s="58"/>
      <c r="D13" s="58"/>
      <c r="F13" s="80" t="s">
        <v>958</v>
      </c>
      <c r="G13" s="76"/>
      <c r="H13" s="76"/>
      <c r="J13" s="67" t="s">
        <v>959</v>
      </c>
      <c r="K13" s="56"/>
      <c r="L13" s="56"/>
      <c r="M13" s="56"/>
    </row>
    <row r="14" spans="1:28" ht="24" customHeight="1" x14ac:dyDescent="0.25"/>
    <row r="15" spans="1:28" ht="24" customHeight="1" x14ac:dyDescent="0.25"/>
    <row r="16" spans="1:28" ht="24" customHeight="1" x14ac:dyDescent="0.25">
      <c r="A16" s="113" t="s">
        <v>960</v>
      </c>
      <c r="B16" s="113"/>
      <c r="C16" s="113"/>
      <c r="D16" s="113"/>
      <c r="E16" s="113"/>
      <c r="F16" s="113"/>
      <c r="G16" s="113"/>
      <c r="I16" s="113" t="s">
        <v>961</v>
      </c>
      <c r="J16" s="113"/>
      <c r="K16" s="113"/>
      <c r="L16" s="113"/>
      <c r="M16" s="113"/>
    </row>
    <row r="17" spans="1:13" ht="24" customHeight="1" x14ac:dyDescent="0.25">
      <c r="A17" s="69" t="s">
        <v>962</v>
      </c>
      <c r="B17" s="69" t="s">
        <v>5</v>
      </c>
      <c r="C17" s="69" t="s">
        <v>963</v>
      </c>
      <c r="D17" s="69" t="s">
        <v>964</v>
      </c>
      <c r="E17" s="69" t="s">
        <v>965</v>
      </c>
      <c r="F17" s="69" t="s">
        <v>966</v>
      </c>
      <c r="G17" s="69" t="s">
        <v>59</v>
      </c>
      <c r="I17" s="71" t="s">
        <v>967</v>
      </c>
      <c r="J17" s="71" t="s">
        <v>968</v>
      </c>
      <c r="K17" s="71" t="s">
        <v>969</v>
      </c>
      <c r="L17" s="71" t="s">
        <v>970</v>
      </c>
      <c r="M17" s="71" t="s">
        <v>56</v>
      </c>
    </row>
    <row r="18" spans="1:13" ht="24" customHeight="1" x14ac:dyDescent="0.25">
      <c r="A18" s="29" t="str">
        <f>SBFP_Beneficiaries!C5</f>
        <v>Learner 021</v>
      </c>
      <c r="B18" s="29" t="str">
        <f>SBFP_Beneficiaries!E5</f>
        <v>Grade 1</v>
      </c>
      <c r="C18" s="95">
        <f>SBFP_Beneficiaries!K5</f>
        <v>14.46280991735537</v>
      </c>
      <c r="D18" s="95">
        <f>SBFP_Beneficiaries!O5</f>
        <v>14.771528285041796</v>
      </c>
      <c r="E18" s="95">
        <f>SBFP_Beneficiaries!P5</f>
        <v>0.69999999999999929</v>
      </c>
      <c r="F18" s="96">
        <f>SBFP_Beneficiaries!T5</f>
        <v>0.9</v>
      </c>
      <c r="G18" s="29" t="str">
        <f>SBFP_Beneficiaries!U5</f>
        <v>Improving</v>
      </c>
      <c r="I18" s="29" t="str">
        <f>School_Inventory!C5</f>
        <v>Rice</v>
      </c>
      <c r="J18" s="29" t="str">
        <f>School_Inventory!B5</f>
        <v>SBFP Food</v>
      </c>
      <c r="K18" s="29">
        <f>School_Inventory!H5</f>
        <v>90</v>
      </c>
      <c r="L18" s="29">
        <f>School_Inventory!I5</f>
        <v>30</v>
      </c>
      <c r="M18" s="29" t="str">
        <f>School_Inventory!J5</f>
        <v>Available</v>
      </c>
    </row>
    <row r="19" spans="1:13" ht="24" customHeight="1" x14ac:dyDescent="0.25">
      <c r="A19" s="29" t="str">
        <f>SBFP_Beneficiaries!C6</f>
        <v>Learner 041</v>
      </c>
      <c r="B19" s="29" t="str">
        <f>SBFP_Beneficiaries!E6</f>
        <v>Grade 2</v>
      </c>
      <c r="C19" s="95">
        <f>SBFP_Beneficiaries!K6</f>
        <v>13.376932223543403</v>
      </c>
      <c r="D19" s="95">
        <f>SBFP_Beneficiaries!O6</f>
        <v>13.557074177089278</v>
      </c>
      <c r="E19" s="95">
        <f>SBFP_Beneficiaries!P6</f>
        <v>0.39999999999999858</v>
      </c>
      <c r="F19" s="96">
        <f>SBFP_Beneficiaries!T6</f>
        <v>0.8</v>
      </c>
      <c r="G19" s="29" t="str">
        <f>SBFP_Beneficiaries!U6</f>
        <v>Monitor attendance</v>
      </c>
      <c r="I19" s="29" t="str">
        <f>School_Inventory!C6</f>
        <v>Eggs</v>
      </c>
      <c r="J19" s="29" t="str">
        <f>School_Inventory!B6</f>
        <v>SBFP Food</v>
      </c>
      <c r="K19" s="29">
        <f>School_Inventory!H6</f>
        <v>15</v>
      </c>
      <c r="L19" s="29">
        <f>School_Inventory!I6</f>
        <v>5</v>
      </c>
      <c r="M19" s="29" t="str">
        <f>School_Inventory!J6</f>
        <v>Available</v>
      </c>
    </row>
    <row r="20" spans="1:13" ht="24" customHeight="1" x14ac:dyDescent="0.25">
      <c r="A20" s="29" t="str">
        <f>SBFP_Beneficiaries!C7</f>
        <v>Learner 061</v>
      </c>
      <c r="B20" s="29" t="str">
        <f>SBFP_Beneficiaries!E7</f>
        <v>Grade 3</v>
      </c>
      <c r="C20" s="95">
        <f>SBFP_Beneficiaries!K7</f>
        <v>13.660269107301414</v>
      </c>
      <c r="D20" s="95">
        <f>SBFP_Beneficiaries!O7</f>
        <v>13.954512354146557</v>
      </c>
      <c r="E20" s="95">
        <f>SBFP_Beneficiaries!P7</f>
        <v>0.60000000000000142</v>
      </c>
      <c r="F20" s="96">
        <f>SBFP_Beneficiaries!T7</f>
        <v>1</v>
      </c>
      <c r="G20" s="29" t="str">
        <f>SBFP_Beneficiaries!U7</f>
        <v>Good attendance</v>
      </c>
      <c r="I20" s="29" t="str">
        <f>School_Inventory!C7</f>
        <v>Vegetables</v>
      </c>
      <c r="J20" s="29" t="str">
        <f>School_Inventory!B7</f>
        <v>SBFP Food</v>
      </c>
      <c r="K20" s="29">
        <f>School_Inventory!H7</f>
        <v>20</v>
      </c>
      <c r="L20" s="29">
        <f>School_Inventory!I7</f>
        <v>10</v>
      </c>
      <c r="M20" s="29" t="str">
        <f>School_Inventory!J7</f>
        <v>Available</v>
      </c>
    </row>
    <row r="21" spans="1:13" ht="24" customHeight="1" x14ac:dyDescent="0.25">
      <c r="A21" s="29" t="str">
        <f>SBFP_Beneficiaries!C8</f>
        <v>Learner 081</v>
      </c>
      <c r="B21" s="29" t="str">
        <f>SBFP_Beneficiaries!E8</f>
        <v>Grade 4</v>
      </c>
      <c r="C21" s="95">
        <f>SBFP_Beneficiaries!K8</f>
        <v>13.640027280054561</v>
      </c>
      <c r="D21" s="95">
        <f>SBFP_Beneficiaries!O8</f>
        <v>13.963860053825453</v>
      </c>
      <c r="E21" s="95">
        <f>SBFP_Beneficiaries!P8</f>
        <v>0.69999999999999929</v>
      </c>
      <c r="F21" s="96">
        <f>SBFP_Beneficiaries!T8</f>
        <v>0.85</v>
      </c>
      <c r="G21" s="29" t="str">
        <f>SBFP_Beneficiaries!U8</f>
        <v>For follow-up</v>
      </c>
      <c r="I21" s="29" t="str">
        <f>School_Inventory!C8</f>
        <v>Food Containers</v>
      </c>
      <c r="J21" s="29" t="str">
        <f>School_Inventory!B8</f>
        <v>SBFP Supplies</v>
      </c>
      <c r="K21" s="29">
        <f>School_Inventory!H8</f>
        <v>120</v>
      </c>
      <c r="L21" s="29">
        <f>School_Inventory!I8</f>
        <v>30</v>
      </c>
      <c r="M21" s="29" t="str">
        <f>School_Inventory!J8</f>
        <v>Available</v>
      </c>
    </row>
    <row r="22" spans="1:13" ht="24" customHeight="1" x14ac:dyDescent="0.25">
      <c r="A22" s="29" t="str">
        <f>SBFP_Beneficiaries!C9</f>
        <v>Learner 101</v>
      </c>
      <c r="B22" s="29" t="str">
        <f>SBFP_Beneficiaries!E9</f>
        <v>Grade 5</v>
      </c>
      <c r="C22" s="95">
        <f>SBFP_Beneficiaries!K9</f>
        <v>14.133077053536095</v>
      </c>
      <c r="D22" s="95">
        <f>SBFP_Beneficiaries!O9</f>
        <v>14.364067387675519</v>
      </c>
      <c r="E22" s="95">
        <f>SBFP_Beneficiaries!P9</f>
        <v>0.60000000000000142</v>
      </c>
      <c r="F22" s="96">
        <f>SBFP_Beneficiaries!T9</f>
        <v>0.95</v>
      </c>
      <c r="G22" s="29" t="str">
        <f>SBFP_Beneficiaries!U9</f>
        <v>Improving</v>
      </c>
      <c r="I22" s="29" t="str">
        <f>School_Inventory!C9</f>
        <v>Bond Paper</v>
      </c>
      <c r="J22" s="29" t="str">
        <f>School_Inventory!B9</f>
        <v>Office Supply</v>
      </c>
      <c r="K22" s="29">
        <f>School_Inventory!H9</f>
        <v>12</v>
      </c>
      <c r="L22" s="29">
        <f>School_Inventory!I9</f>
        <v>5</v>
      </c>
      <c r="M22" s="29" t="str">
        <f>School_Inventory!J9</f>
        <v>Available</v>
      </c>
    </row>
    <row r="23" spans="1:13" ht="24" customHeight="1" x14ac:dyDescent="0.25">
      <c r="A23" s="29" t="str">
        <f>SBFP_Beneficiaries!C10</f>
        <v>Learner 121</v>
      </c>
      <c r="B23" s="29" t="str">
        <f>SBFP_Beneficiaries!E10</f>
        <v>Grade 6</v>
      </c>
      <c r="C23" s="95">
        <f>SBFP_Beneficiaries!K10</f>
        <v>15.009575073753949</v>
      </c>
      <c r="D23" s="95">
        <f>SBFP_Beneficiaries!O10</f>
        <v>15.107719582225304</v>
      </c>
      <c r="E23" s="95">
        <f>SBFP_Beneficiaries!P10</f>
        <v>0.39999999999999858</v>
      </c>
      <c r="F23" s="96">
        <f>SBFP_Beneficiaries!T10</f>
        <v>0.75</v>
      </c>
      <c r="G23" s="29" t="str">
        <f>SBFP_Beneficiaries!U10</f>
        <v>Needs monitoring</v>
      </c>
      <c r="I23" s="29" t="str">
        <f>School_Inventory!C10</f>
        <v>Printer Ink</v>
      </c>
      <c r="J23" s="29" t="str">
        <f>School_Inventory!B10</f>
        <v>ICT Equipment</v>
      </c>
      <c r="K23" s="29">
        <f>School_Inventory!H10</f>
        <v>3</v>
      </c>
      <c r="L23" s="29">
        <f>School_Inventory!I10</f>
        <v>2</v>
      </c>
      <c r="M23" s="29" t="str">
        <f>School_Inventory!J10</f>
        <v>Available</v>
      </c>
    </row>
    <row r="24" spans="1:13" ht="24" customHeight="1" x14ac:dyDescent="0.25"/>
    <row r="25" spans="1:13" ht="24" customHeight="1" x14ac:dyDescent="0.25"/>
    <row r="26" spans="1:13" ht="24" customHeight="1" x14ac:dyDescent="0.25"/>
    <row r="27" spans="1:13" ht="24" customHeight="1" x14ac:dyDescent="0.25">
      <c r="A27" s="83" t="s">
        <v>5</v>
      </c>
      <c r="B27" s="83" t="s">
        <v>971</v>
      </c>
    </row>
    <row r="28" spans="1:13" ht="24" customHeight="1" x14ac:dyDescent="0.25">
      <c r="A28" s="97" t="s">
        <v>9</v>
      </c>
      <c r="B28" s="97">
        <f>COUNTIF(SBFP_Beneficiaries!E:E,A28)</f>
        <v>0</v>
      </c>
    </row>
    <row r="29" spans="1:13" ht="24" customHeight="1" x14ac:dyDescent="0.25">
      <c r="A29" s="97" t="s">
        <v>12</v>
      </c>
      <c r="B29" s="97">
        <f>COUNTIF(SBFP_Beneficiaries!E:E,A29)</f>
        <v>1</v>
      </c>
    </row>
    <row r="30" spans="1:13" ht="24" customHeight="1" x14ac:dyDescent="0.25">
      <c r="A30" s="97" t="s">
        <v>23</v>
      </c>
      <c r="B30" s="97">
        <f>COUNTIF(SBFP_Beneficiaries!E:E,A30)</f>
        <v>1</v>
      </c>
    </row>
    <row r="31" spans="1:13" ht="24" customHeight="1" x14ac:dyDescent="0.25">
      <c r="A31" s="97" t="s">
        <v>26</v>
      </c>
      <c r="B31" s="97">
        <f>COUNTIF(SBFP_Beneficiaries!E:E,A31)</f>
        <v>1</v>
      </c>
    </row>
    <row r="32" spans="1:13" ht="24" customHeight="1" x14ac:dyDescent="0.25">
      <c r="A32" s="97" t="s">
        <v>39</v>
      </c>
      <c r="B32" s="97">
        <f>COUNTIF(SBFP_Beneficiaries!E:E,A32)</f>
        <v>1</v>
      </c>
    </row>
    <row r="33" spans="1:2" ht="24" customHeight="1" x14ac:dyDescent="0.25">
      <c r="A33" s="97" t="s">
        <v>42</v>
      </c>
      <c r="B33" s="97">
        <f>COUNTIF(SBFP_Beneficiaries!E:E,A33)</f>
        <v>1</v>
      </c>
    </row>
    <row r="34" spans="1:2" ht="24" customHeight="1" x14ac:dyDescent="0.25">
      <c r="A34" s="97" t="s">
        <v>44</v>
      </c>
      <c r="B34" s="97">
        <f>COUNTIF(SBFP_Beneficiaries!E:E,A34)</f>
        <v>1</v>
      </c>
    </row>
    <row r="35" spans="1:2" ht="24" customHeight="1" x14ac:dyDescent="0.25"/>
    <row r="36" spans="1:2" ht="24" customHeight="1" x14ac:dyDescent="0.25"/>
    <row r="37" spans="1:2" ht="24" customHeight="1" x14ac:dyDescent="0.25"/>
    <row r="38" spans="1:2" ht="24" customHeight="1" x14ac:dyDescent="0.25"/>
    <row r="39" spans="1:2" ht="24" customHeight="1" x14ac:dyDescent="0.25"/>
    <row r="40" spans="1:2" ht="24" customHeight="1" x14ac:dyDescent="0.25"/>
    <row r="41" spans="1:2" ht="24" customHeight="1" x14ac:dyDescent="0.25"/>
    <row r="42" spans="1:2" ht="24" customHeight="1" x14ac:dyDescent="0.25"/>
    <row r="43" spans="1:2" ht="24" customHeight="1" x14ac:dyDescent="0.25"/>
    <row r="44" spans="1:2" ht="24" customHeight="1" x14ac:dyDescent="0.25"/>
    <row r="45" spans="1:2" ht="24" customHeight="1" x14ac:dyDescent="0.25"/>
    <row r="46" spans="1:2" ht="24" customHeight="1" x14ac:dyDescent="0.25"/>
    <row r="47" spans="1:2" ht="24" customHeight="1" x14ac:dyDescent="0.25"/>
    <row r="48" spans="1:2" ht="24" customHeight="1" x14ac:dyDescent="0.25"/>
    <row r="49" ht="24" customHeight="1" x14ac:dyDescent="0.25"/>
    <row r="50" ht="24" customHeight="1" x14ac:dyDescent="0.25"/>
    <row r="51" ht="24" customHeight="1" x14ac:dyDescent="0.25"/>
    <row r="52" ht="24" customHeight="1" x14ac:dyDescent="0.25"/>
    <row r="53" ht="24" customHeight="1" x14ac:dyDescent="0.25"/>
    <row r="54" ht="24" customHeight="1" x14ac:dyDescent="0.25"/>
    <row r="55" ht="24" customHeight="1" x14ac:dyDescent="0.25"/>
    <row r="56" ht="24" customHeight="1" x14ac:dyDescent="0.25"/>
    <row r="57" ht="24" customHeight="1" x14ac:dyDescent="0.25"/>
    <row r="58" ht="24" customHeight="1" x14ac:dyDescent="0.25"/>
    <row r="59" ht="24" customHeight="1" x14ac:dyDescent="0.25"/>
  </sheetData>
  <sheetProtection password="9233" sheet="1"/>
  <mergeCells count="3">
    <mergeCell ref="A1:N3"/>
    <mergeCell ref="A16:G16"/>
    <mergeCell ref="I16:M16"/>
  </mergeCells>
  <conditionalFormatting sqref="I18:M23">
    <cfRule type="expression" dxfId="15" priority="2">
      <formula>$M18="Available"</formula>
    </cfRule>
    <cfRule type="expression" dxfId="14" priority="3">
      <formula>$M18="Reorder"</formula>
    </cfRule>
    <cfRule type="expression" dxfId="13" priority="4">
      <formula>$M18="Out of Stock"</formula>
    </cfRule>
  </conditionalFormatting>
  <pageMargins left="0.25" right="0.25" top="0.4" bottom="0.4" header="0.511811023622047" footer="0.511811023622047"/>
  <pageSetup paperSize="9"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0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8" customWidth="1"/>
    <col min="3" max="3" width="22" customWidth="1"/>
    <col min="4" max="4" width="8" customWidth="1"/>
    <col min="5" max="5" width="12" customWidth="1"/>
    <col min="6" max="6" width="14" customWidth="1"/>
    <col min="7" max="7" width="8" customWidth="1"/>
    <col min="8" max="8" width="14" customWidth="1"/>
    <col min="9" max="10" width="16" customWidth="1"/>
    <col min="11" max="11" width="12" customWidth="1"/>
    <col min="12" max="12" width="14" customWidth="1"/>
    <col min="13" max="14" width="16" customWidth="1"/>
    <col min="15" max="15" width="12" customWidth="1"/>
    <col min="16" max="17" width="15" customWidth="1"/>
    <col min="18" max="18" width="12" customWidth="1"/>
    <col min="19" max="20" width="18" customWidth="1"/>
    <col min="21" max="21" width="24" customWidth="1"/>
  </cols>
  <sheetData>
    <row r="1" spans="1:21" ht="15" customHeight="1" x14ac:dyDescent="0.25">
      <c r="A1" s="125" t="s">
        <v>972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ht="15" customHeight="1" x14ac:dyDescent="0.2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</row>
    <row r="4" spans="1:21" ht="23.25" customHeight="1" x14ac:dyDescent="0.25">
      <c r="A4" s="69" t="s">
        <v>973</v>
      </c>
      <c r="B4" s="69" t="s">
        <v>120</v>
      </c>
      <c r="C4" s="69" t="s">
        <v>527</v>
      </c>
      <c r="D4" s="69" t="s">
        <v>125</v>
      </c>
      <c r="E4" s="69" t="s">
        <v>99</v>
      </c>
      <c r="F4" s="69" t="s">
        <v>100</v>
      </c>
      <c r="G4" s="69" t="s">
        <v>127</v>
      </c>
      <c r="H4" s="69" t="s">
        <v>974</v>
      </c>
      <c r="I4" s="69" t="s">
        <v>975</v>
      </c>
      <c r="J4" s="69" t="s">
        <v>976</v>
      </c>
      <c r="K4" s="69" t="s">
        <v>977</v>
      </c>
      <c r="L4" s="69" t="s">
        <v>978</v>
      </c>
      <c r="M4" s="69" t="s">
        <v>979</v>
      </c>
      <c r="N4" s="69" t="s">
        <v>980</v>
      </c>
      <c r="O4" s="69" t="s">
        <v>981</v>
      </c>
      <c r="P4" s="69" t="s">
        <v>982</v>
      </c>
      <c r="Q4" s="69" t="s">
        <v>983</v>
      </c>
      <c r="R4" s="69" t="s">
        <v>984</v>
      </c>
      <c r="S4" s="69" t="s">
        <v>985</v>
      </c>
      <c r="T4" s="69" t="s">
        <v>986</v>
      </c>
      <c r="U4" s="69" t="s">
        <v>59</v>
      </c>
    </row>
    <row r="5" spans="1:21" ht="23.25" customHeight="1" x14ac:dyDescent="0.25">
      <c r="A5" s="47">
        <v>1</v>
      </c>
      <c r="B5" s="47" t="s">
        <v>987</v>
      </c>
      <c r="C5" s="47" t="s">
        <v>988</v>
      </c>
      <c r="D5" s="47"/>
      <c r="E5" s="47" t="s">
        <v>12</v>
      </c>
      <c r="F5" s="47" t="s">
        <v>106</v>
      </c>
      <c r="G5" s="47">
        <v>6</v>
      </c>
      <c r="H5" s="70">
        <v>46204</v>
      </c>
      <c r="I5" s="98">
        <v>110</v>
      </c>
      <c r="J5" s="98">
        <v>17.5</v>
      </c>
      <c r="K5" s="98">
        <f t="shared" ref="K5:K36" si="0">IFERROR(J5/((I5/100)^2),"")</f>
        <v>14.46280991735537</v>
      </c>
      <c r="L5" s="70">
        <v>46230</v>
      </c>
      <c r="M5" s="98">
        <v>111</v>
      </c>
      <c r="N5" s="98">
        <v>18.2</v>
      </c>
      <c r="O5" s="98">
        <f t="shared" ref="O5:O36" si="1">IFERROR(N5/((M5/100)^2),"")</f>
        <v>14.771528285041796</v>
      </c>
      <c r="P5" s="98">
        <f t="shared" ref="P5:P36" si="2">IF(OR(N5="",J5=""),"",N5-J5)</f>
        <v>0.69999999999999929</v>
      </c>
      <c r="Q5" s="98">
        <f t="shared" ref="Q5:Q36" si="3">IF(OR(M5="",I5=""),"",M5-I5)</f>
        <v>1</v>
      </c>
      <c r="R5" s="98">
        <f t="shared" ref="R5:R36" si="4">IF(OR(O5="",K5=""),"",O5-K5)</f>
        <v>0.30871836768642602</v>
      </c>
      <c r="S5" s="47">
        <v>18</v>
      </c>
      <c r="T5" s="99">
        <f>IFERROR(S5/Dashboard!$AB$13,"")</f>
        <v>0.9</v>
      </c>
      <c r="U5" s="47" t="s">
        <v>989</v>
      </c>
    </row>
    <row r="6" spans="1:21" ht="23.25" customHeight="1" x14ac:dyDescent="0.25">
      <c r="A6" s="47">
        <v>2</v>
      </c>
      <c r="B6" s="47" t="s">
        <v>990</v>
      </c>
      <c r="C6" s="47" t="s">
        <v>991</v>
      </c>
      <c r="D6" s="47"/>
      <c r="E6" s="47" t="s">
        <v>23</v>
      </c>
      <c r="F6" s="47" t="s">
        <v>108</v>
      </c>
      <c r="G6" s="47">
        <v>7</v>
      </c>
      <c r="H6" s="70">
        <v>46204</v>
      </c>
      <c r="I6" s="98">
        <v>116</v>
      </c>
      <c r="J6" s="98">
        <v>18</v>
      </c>
      <c r="K6" s="98">
        <f t="shared" si="0"/>
        <v>13.376932223543403</v>
      </c>
      <c r="L6" s="70">
        <v>46230</v>
      </c>
      <c r="M6" s="98">
        <v>116.5</v>
      </c>
      <c r="N6" s="98">
        <v>18.399999999999999</v>
      </c>
      <c r="O6" s="98">
        <f t="shared" si="1"/>
        <v>13.557074177089278</v>
      </c>
      <c r="P6" s="98">
        <f t="shared" si="2"/>
        <v>0.39999999999999858</v>
      </c>
      <c r="Q6" s="98">
        <f t="shared" si="3"/>
        <v>0.5</v>
      </c>
      <c r="R6" s="98">
        <f t="shared" si="4"/>
        <v>0.18014195354587592</v>
      </c>
      <c r="S6" s="47">
        <v>16</v>
      </c>
      <c r="T6" s="99">
        <f>IFERROR(S6/Dashboard!$AB$13,"")</f>
        <v>0.8</v>
      </c>
      <c r="U6" s="47" t="s">
        <v>992</v>
      </c>
    </row>
    <row r="7" spans="1:21" ht="23.25" customHeight="1" x14ac:dyDescent="0.25">
      <c r="A7" s="47">
        <v>3</v>
      </c>
      <c r="B7" s="47" t="s">
        <v>259</v>
      </c>
      <c r="C7" s="47" t="s">
        <v>993</v>
      </c>
      <c r="D7" s="47"/>
      <c r="E7" s="47" t="s">
        <v>26</v>
      </c>
      <c r="F7" s="47" t="s">
        <v>110</v>
      </c>
      <c r="G7" s="47">
        <v>8</v>
      </c>
      <c r="H7" s="70">
        <v>46204</v>
      </c>
      <c r="I7" s="98">
        <v>121</v>
      </c>
      <c r="J7" s="98">
        <v>20</v>
      </c>
      <c r="K7" s="98">
        <f t="shared" si="0"/>
        <v>13.660269107301414</v>
      </c>
      <c r="L7" s="70">
        <v>46230</v>
      </c>
      <c r="M7" s="98">
        <v>121.5</v>
      </c>
      <c r="N7" s="98">
        <v>20.6</v>
      </c>
      <c r="O7" s="98">
        <f t="shared" si="1"/>
        <v>13.954512354146557</v>
      </c>
      <c r="P7" s="98">
        <f t="shared" si="2"/>
        <v>0.60000000000000142</v>
      </c>
      <c r="Q7" s="98">
        <f t="shared" si="3"/>
        <v>0.5</v>
      </c>
      <c r="R7" s="98">
        <f t="shared" si="4"/>
        <v>0.29424324684514325</v>
      </c>
      <c r="S7" s="47">
        <v>20</v>
      </c>
      <c r="T7" s="99">
        <f>IFERROR(S7/Dashboard!$AB$13,"")</f>
        <v>1</v>
      </c>
      <c r="U7" s="47" t="s">
        <v>994</v>
      </c>
    </row>
    <row r="8" spans="1:21" ht="23.25" customHeight="1" x14ac:dyDescent="0.25">
      <c r="A8" s="47">
        <v>4</v>
      </c>
      <c r="B8" s="47" t="s">
        <v>995</v>
      </c>
      <c r="C8" s="47" t="s">
        <v>996</v>
      </c>
      <c r="D8" s="47"/>
      <c r="E8" s="47" t="s">
        <v>39</v>
      </c>
      <c r="F8" s="47" t="s">
        <v>112</v>
      </c>
      <c r="G8" s="47">
        <v>9</v>
      </c>
      <c r="H8" s="70">
        <v>46204</v>
      </c>
      <c r="I8" s="98">
        <v>127</v>
      </c>
      <c r="J8" s="98">
        <v>22</v>
      </c>
      <c r="K8" s="98">
        <f t="shared" si="0"/>
        <v>13.640027280054561</v>
      </c>
      <c r="L8" s="70">
        <v>46230</v>
      </c>
      <c r="M8" s="98">
        <v>127.5</v>
      </c>
      <c r="N8" s="98">
        <v>22.7</v>
      </c>
      <c r="O8" s="98">
        <f t="shared" si="1"/>
        <v>13.963860053825453</v>
      </c>
      <c r="P8" s="98">
        <f t="shared" si="2"/>
        <v>0.69999999999999929</v>
      </c>
      <c r="Q8" s="98">
        <f t="shared" si="3"/>
        <v>0.5</v>
      </c>
      <c r="R8" s="98">
        <f t="shared" si="4"/>
        <v>0.32383277377089215</v>
      </c>
      <c r="S8" s="47">
        <v>17</v>
      </c>
      <c r="T8" s="99">
        <f>IFERROR(S8/Dashboard!$AB$13,"")</f>
        <v>0.85</v>
      </c>
      <c r="U8" s="47" t="s">
        <v>997</v>
      </c>
    </row>
    <row r="9" spans="1:21" ht="23.25" customHeight="1" x14ac:dyDescent="0.25">
      <c r="A9" s="47">
        <v>5</v>
      </c>
      <c r="B9" s="47" t="s">
        <v>998</v>
      </c>
      <c r="C9" s="47" t="s">
        <v>999</v>
      </c>
      <c r="D9" s="47"/>
      <c r="E9" s="47" t="s">
        <v>42</v>
      </c>
      <c r="F9" s="47" t="s">
        <v>114</v>
      </c>
      <c r="G9" s="47">
        <v>10</v>
      </c>
      <c r="H9" s="70">
        <v>46204</v>
      </c>
      <c r="I9" s="98">
        <v>133</v>
      </c>
      <c r="J9" s="98">
        <v>25</v>
      </c>
      <c r="K9" s="98">
        <f t="shared" si="0"/>
        <v>14.133077053536095</v>
      </c>
      <c r="L9" s="70">
        <v>46230</v>
      </c>
      <c r="M9" s="98">
        <v>133.5</v>
      </c>
      <c r="N9" s="98">
        <v>25.6</v>
      </c>
      <c r="O9" s="98">
        <f t="shared" si="1"/>
        <v>14.364067387675519</v>
      </c>
      <c r="P9" s="98">
        <f t="shared" si="2"/>
        <v>0.60000000000000142</v>
      </c>
      <c r="Q9" s="98">
        <f t="shared" si="3"/>
        <v>0.5</v>
      </c>
      <c r="R9" s="98">
        <f t="shared" si="4"/>
        <v>0.23099033413942394</v>
      </c>
      <c r="S9" s="47">
        <v>19</v>
      </c>
      <c r="T9" s="99">
        <f>IFERROR(S9/Dashboard!$AB$13,"")</f>
        <v>0.95</v>
      </c>
      <c r="U9" s="47" t="s">
        <v>989</v>
      </c>
    </row>
    <row r="10" spans="1:21" ht="23.25" customHeight="1" x14ac:dyDescent="0.25">
      <c r="A10" s="47">
        <v>6</v>
      </c>
      <c r="B10" s="47" t="s">
        <v>1000</v>
      </c>
      <c r="C10" s="47" t="s">
        <v>1001</v>
      </c>
      <c r="D10" s="47"/>
      <c r="E10" s="47" t="s">
        <v>44</v>
      </c>
      <c r="F10" s="47" t="s">
        <v>116</v>
      </c>
      <c r="G10" s="47">
        <v>11</v>
      </c>
      <c r="H10" s="70">
        <v>46204</v>
      </c>
      <c r="I10" s="98">
        <v>139</v>
      </c>
      <c r="J10" s="98">
        <v>29</v>
      </c>
      <c r="K10" s="98">
        <f t="shared" si="0"/>
        <v>15.009575073753949</v>
      </c>
      <c r="L10" s="70">
        <v>46230</v>
      </c>
      <c r="M10" s="98">
        <v>139.5</v>
      </c>
      <c r="N10" s="98">
        <v>29.4</v>
      </c>
      <c r="O10" s="98">
        <f t="shared" si="1"/>
        <v>15.107719582225304</v>
      </c>
      <c r="P10" s="98">
        <f t="shared" si="2"/>
        <v>0.39999999999999858</v>
      </c>
      <c r="Q10" s="98">
        <f t="shared" si="3"/>
        <v>0.5</v>
      </c>
      <c r="R10" s="98">
        <f t="shared" si="4"/>
        <v>9.8144508471355252E-2</v>
      </c>
      <c r="S10" s="47">
        <v>15</v>
      </c>
      <c r="T10" s="99">
        <f>IFERROR(S10/Dashboard!$AB$13,"")</f>
        <v>0.75</v>
      </c>
      <c r="U10" s="47" t="s">
        <v>1002</v>
      </c>
    </row>
    <row r="11" spans="1:21" ht="15" customHeight="1" x14ac:dyDescent="0.25">
      <c r="A11" s="47"/>
      <c r="B11" s="47"/>
      <c r="C11" s="47"/>
      <c r="D11" s="47"/>
      <c r="E11" s="47"/>
      <c r="F11" s="47"/>
      <c r="G11" s="47"/>
      <c r="H11" s="70"/>
      <c r="I11" s="98"/>
      <c r="J11" s="98"/>
      <c r="K11" s="98" t="str">
        <f t="shared" si="0"/>
        <v/>
      </c>
      <c r="L11" s="70"/>
      <c r="M11" s="98"/>
      <c r="N11" s="98"/>
      <c r="O11" s="98" t="str">
        <f t="shared" si="1"/>
        <v/>
      </c>
      <c r="P11" s="98" t="str">
        <f t="shared" si="2"/>
        <v/>
      </c>
      <c r="Q11" s="98" t="str">
        <f t="shared" si="3"/>
        <v/>
      </c>
      <c r="R11" s="98" t="str">
        <f t="shared" si="4"/>
        <v/>
      </c>
      <c r="S11" s="47"/>
      <c r="T11" s="99">
        <f>IFERROR(S11/Dashboard!$AB$13,"")</f>
        <v>0</v>
      </c>
      <c r="U11" s="47"/>
    </row>
    <row r="12" spans="1:21" ht="15" customHeight="1" x14ac:dyDescent="0.25">
      <c r="A12" s="47"/>
      <c r="B12" s="47"/>
      <c r="C12" s="47"/>
      <c r="D12" s="47"/>
      <c r="E12" s="47"/>
      <c r="F12" s="47"/>
      <c r="G12" s="47"/>
      <c r="H12" s="70"/>
      <c r="I12" s="98"/>
      <c r="J12" s="98"/>
      <c r="K12" s="98" t="str">
        <f t="shared" si="0"/>
        <v/>
      </c>
      <c r="L12" s="70"/>
      <c r="M12" s="98"/>
      <c r="N12" s="98"/>
      <c r="O12" s="98" t="str">
        <f t="shared" si="1"/>
        <v/>
      </c>
      <c r="P12" s="98" t="str">
        <f t="shared" si="2"/>
        <v/>
      </c>
      <c r="Q12" s="98" t="str">
        <f t="shared" si="3"/>
        <v/>
      </c>
      <c r="R12" s="98" t="str">
        <f t="shared" si="4"/>
        <v/>
      </c>
      <c r="S12" s="47"/>
      <c r="T12" s="99">
        <f>IFERROR(S12/Dashboard!$AB$13,"")</f>
        <v>0</v>
      </c>
      <c r="U12" s="47"/>
    </row>
    <row r="13" spans="1:21" ht="15" customHeight="1" x14ac:dyDescent="0.25">
      <c r="A13" s="47"/>
      <c r="B13" s="47"/>
      <c r="C13" s="47"/>
      <c r="D13" s="47"/>
      <c r="E13" s="47"/>
      <c r="F13" s="47"/>
      <c r="G13" s="47"/>
      <c r="H13" s="70"/>
      <c r="I13" s="98"/>
      <c r="J13" s="98"/>
      <c r="K13" s="98" t="str">
        <f t="shared" si="0"/>
        <v/>
      </c>
      <c r="L13" s="70"/>
      <c r="M13" s="98"/>
      <c r="N13" s="98"/>
      <c r="O13" s="98" t="str">
        <f t="shared" si="1"/>
        <v/>
      </c>
      <c r="P13" s="98" t="str">
        <f t="shared" si="2"/>
        <v/>
      </c>
      <c r="Q13" s="98" t="str">
        <f t="shared" si="3"/>
        <v/>
      </c>
      <c r="R13" s="98" t="str">
        <f t="shared" si="4"/>
        <v/>
      </c>
      <c r="S13" s="47"/>
      <c r="T13" s="99">
        <f>IFERROR(S13/Dashboard!$AB$13,"")</f>
        <v>0</v>
      </c>
      <c r="U13" s="47"/>
    </row>
    <row r="14" spans="1:21" ht="15" customHeight="1" x14ac:dyDescent="0.25">
      <c r="A14" s="47"/>
      <c r="B14" s="47"/>
      <c r="C14" s="47"/>
      <c r="D14" s="47"/>
      <c r="E14" s="47"/>
      <c r="F14" s="47"/>
      <c r="G14" s="47"/>
      <c r="H14" s="70"/>
      <c r="I14" s="98"/>
      <c r="J14" s="98"/>
      <c r="K14" s="98" t="str">
        <f t="shared" si="0"/>
        <v/>
      </c>
      <c r="L14" s="70"/>
      <c r="M14" s="98"/>
      <c r="N14" s="98"/>
      <c r="O14" s="98" t="str">
        <f t="shared" si="1"/>
        <v/>
      </c>
      <c r="P14" s="98" t="str">
        <f t="shared" si="2"/>
        <v/>
      </c>
      <c r="Q14" s="98" t="str">
        <f t="shared" si="3"/>
        <v/>
      </c>
      <c r="R14" s="98" t="str">
        <f t="shared" si="4"/>
        <v/>
      </c>
      <c r="S14" s="47"/>
      <c r="T14" s="99">
        <f>IFERROR(S14/Dashboard!$AB$13,"")</f>
        <v>0</v>
      </c>
      <c r="U14" s="47"/>
    </row>
    <row r="15" spans="1:21" ht="15" customHeight="1" x14ac:dyDescent="0.25">
      <c r="A15" s="47"/>
      <c r="B15" s="47"/>
      <c r="C15" s="47"/>
      <c r="D15" s="47"/>
      <c r="E15" s="47"/>
      <c r="F15" s="47"/>
      <c r="G15" s="47"/>
      <c r="H15" s="70"/>
      <c r="I15" s="98"/>
      <c r="J15" s="98"/>
      <c r="K15" s="98" t="str">
        <f t="shared" si="0"/>
        <v/>
      </c>
      <c r="L15" s="70"/>
      <c r="M15" s="98"/>
      <c r="N15" s="98"/>
      <c r="O15" s="98" t="str">
        <f t="shared" si="1"/>
        <v/>
      </c>
      <c r="P15" s="98" t="str">
        <f t="shared" si="2"/>
        <v/>
      </c>
      <c r="Q15" s="98" t="str">
        <f t="shared" si="3"/>
        <v/>
      </c>
      <c r="R15" s="98" t="str">
        <f t="shared" si="4"/>
        <v/>
      </c>
      <c r="S15" s="47"/>
      <c r="T15" s="99">
        <f>IFERROR(S15/Dashboard!$AB$13,"")</f>
        <v>0</v>
      </c>
      <c r="U15" s="47"/>
    </row>
    <row r="16" spans="1:21" ht="15" customHeight="1" x14ac:dyDescent="0.25">
      <c r="A16" s="47"/>
      <c r="B16" s="47"/>
      <c r="C16" s="47"/>
      <c r="D16" s="47"/>
      <c r="E16" s="47"/>
      <c r="F16" s="47"/>
      <c r="G16" s="47"/>
      <c r="H16" s="70"/>
      <c r="I16" s="98"/>
      <c r="J16" s="98"/>
      <c r="K16" s="98" t="str">
        <f t="shared" si="0"/>
        <v/>
      </c>
      <c r="L16" s="70"/>
      <c r="M16" s="98"/>
      <c r="N16" s="98"/>
      <c r="O16" s="98" t="str">
        <f t="shared" si="1"/>
        <v/>
      </c>
      <c r="P16" s="98" t="str">
        <f t="shared" si="2"/>
        <v/>
      </c>
      <c r="Q16" s="98" t="str">
        <f t="shared" si="3"/>
        <v/>
      </c>
      <c r="R16" s="98" t="str">
        <f t="shared" si="4"/>
        <v/>
      </c>
      <c r="S16" s="47"/>
      <c r="T16" s="99">
        <f>IFERROR(S16/Dashboard!$AB$13,"")</f>
        <v>0</v>
      </c>
      <c r="U16" s="47"/>
    </row>
    <row r="17" spans="1:21" ht="15" customHeight="1" x14ac:dyDescent="0.25">
      <c r="A17" s="47"/>
      <c r="B17" s="47"/>
      <c r="C17" s="47"/>
      <c r="D17" s="47"/>
      <c r="E17" s="47"/>
      <c r="F17" s="47"/>
      <c r="G17" s="47"/>
      <c r="H17" s="70"/>
      <c r="I17" s="98"/>
      <c r="J17" s="98"/>
      <c r="K17" s="98" t="str">
        <f t="shared" si="0"/>
        <v/>
      </c>
      <c r="L17" s="70"/>
      <c r="M17" s="98"/>
      <c r="N17" s="98"/>
      <c r="O17" s="98" t="str">
        <f t="shared" si="1"/>
        <v/>
      </c>
      <c r="P17" s="98" t="str">
        <f t="shared" si="2"/>
        <v/>
      </c>
      <c r="Q17" s="98" t="str">
        <f t="shared" si="3"/>
        <v/>
      </c>
      <c r="R17" s="98" t="str">
        <f t="shared" si="4"/>
        <v/>
      </c>
      <c r="S17" s="47"/>
      <c r="T17" s="99">
        <f>IFERROR(S17/Dashboard!$AB$13,"")</f>
        <v>0</v>
      </c>
      <c r="U17" s="47"/>
    </row>
    <row r="18" spans="1:21" ht="15" customHeight="1" x14ac:dyDescent="0.25">
      <c r="A18" s="47"/>
      <c r="B18" s="47"/>
      <c r="C18" s="47"/>
      <c r="D18" s="47"/>
      <c r="E18" s="47"/>
      <c r="F18" s="47"/>
      <c r="G18" s="47"/>
      <c r="H18" s="70"/>
      <c r="I18" s="98"/>
      <c r="J18" s="98"/>
      <c r="K18" s="98" t="str">
        <f t="shared" si="0"/>
        <v/>
      </c>
      <c r="L18" s="70"/>
      <c r="M18" s="98"/>
      <c r="N18" s="98"/>
      <c r="O18" s="98" t="str">
        <f t="shared" si="1"/>
        <v/>
      </c>
      <c r="P18" s="98" t="str">
        <f t="shared" si="2"/>
        <v/>
      </c>
      <c r="Q18" s="98" t="str">
        <f t="shared" si="3"/>
        <v/>
      </c>
      <c r="R18" s="98" t="str">
        <f t="shared" si="4"/>
        <v/>
      </c>
      <c r="S18" s="47"/>
      <c r="T18" s="99">
        <f>IFERROR(S18/Dashboard!$AB$13,"")</f>
        <v>0</v>
      </c>
      <c r="U18" s="47"/>
    </row>
    <row r="19" spans="1:21" ht="15" customHeight="1" x14ac:dyDescent="0.25">
      <c r="A19" s="47"/>
      <c r="B19" s="47"/>
      <c r="C19" s="47"/>
      <c r="D19" s="47"/>
      <c r="E19" s="47"/>
      <c r="F19" s="47"/>
      <c r="G19" s="47"/>
      <c r="H19" s="70"/>
      <c r="I19" s="98"/>
      <c r="J19" s="98"/>
      <c r="K19" s="98" t="str">
        <f t="shared" si="0"/>
        <v/>
      </c>
      <c r="L19" s="70"/>
      <c r="M19" s="98"/>
      <c r="N19" s="98"/>
      <c r="O19" s="98" t="str">
        <f t="shared" si="1"/>
        <v/>
      </c>
      <c r="P19" s="98" t="str">
        <f t="shared" si="2"/>
        <v/>
      </c>
      <c r="Q19" s="98" t="str">
        <f t="shared" si="3"/>
        <v/>
      </c>
      <c r="R19" s="98" t="str">
        <f t="shared" si="4"/>
        <v/>
      </c>
      <c r="S19" s="47"/>
      <c r="T19" s="99">
        <f>IFERROR(S19/Dashboard!$AB$13,"")</f>
        <v>0</v>
      </c>
      <c r="U19" s="47"/>
    </row>
    <row r="20" spans="1:21" ht="15" customHeight="1" x14ac:dyDescent="0.25">
      <c r="A20" s="47"/>
      <c r="B20" s="47"/>
      <c r="C20" s="47"/>
      <c r="D20" s="47"/>
      <c r="E20" s="47"/>
      <c r="F20" s="47"/>
      <c r="G20" s="47"/>
      <c r="H20" s="70"/>
      <c r="I20" s="98"/>
      <c r="J20" s="98"/>
      <c r="K20" s="98" t="str">
        <f t="shared" si="0"/>
        <v/>
      </c>
      <c r="L20" s="70"/>
      <c r="M20" s="98"/>
      <c r="N20" s="98"/>
      <c r="O20" s="98" t="str">
        <f t="shared" si="1"/>
        <v/>
      </c>
      <c r="P20" s="98" t="str">
        <f t="shared" si="2"/>
        <v/>
      </c>
      <c r="Q20" s="98" t="str">
        <f t="shared" si="3"/>
        <v/>
      </c>
      <c r="R20" s="98" t="str">
        <f t="shared" si="4"/>
        <v/>
      </c>
      <c r="S20" s="47"/>
      <c r="T20" s="99">
        <f>IFERROR(S20/Dashboard!$AB$13,"")</f>
        <v>0</v>
      </c>
      <c r="U20" s="47"/>
    </row>
    <row r="21" spans="1:21" ht="15" customHeight="1" x14ac:dyDescent="0.25">
      <c r="A21" s="47"/>
      <c r="B21" s="47"/>
      <c r="C21" s="47"/>
      <c r="D21" s="47"/>
      <c r="E21" s="47"/>
      <c r="F21" s="47"/>
      <c r="G21" s="47"/>
      <c r="H21" s="70"/>
      <c r="I21" s="98"/>
      <c r="J21" s="98"/>
      <c r="K21" s="98" t="str">
        <f t="shared" si="0"/>
        <v/>
      </c>
      <c r="L21" s="70"/>
      <c r="M21" s="98"/>
      <c r="N21" s="98"/>
      <c r="O21" s="98" t="str">
        <f t="shared" si="1"/>
        <v/>
      </c>
      <c r="P21" s="98" t="str">
        <f t="shared" si="2"/>
        <v/>
      </c>
      <c r="Q21" s="98" t="str">
        <f t="shared" si="3"/>
        <v/>
      </c>
      <c r="R21" s="98" t="str">
        <f t="shared" si="4"/>
        <v/>
      </c>
      <c r="S21" s="47"/>
      <c r="T21" s="99">
        <f>IFERROR(S21/Dashboard!$AB$13,"")</f>
        <v>0</v>
      </c>
      <c r="U21" s="47"/>
    </row>
    <row r="22" spans="1:21" ht="15" customHeight="1" x14ac:dyDescent="0.25">
      <c r="A22" s="47"/>
      <c r="B22" s="47"/>
      <c r="C22" s="47"/>
      <c r="D22" s="47"/>
      <c r="E22" s="47"/>
      <c r="F22" s="47"/>
      <c r="G22" s="47"/>
      <c r="H22" s="70"/>
      <c r="I22" s="98"/>
      <c r="J22" s="98"/>
      <c r="K22" s="98" t="str">
        <f t="shared" si="0"/>
        <v/>
      </c>
      <c r="L22" s="70"/>
      <c r="M22" s="98"/>
      <c r="N22" s="98"/>
      <c r="O22" s="98" t="str">
        <f t="shared" si="1"/>
        <v/>
      </c>
      <c r="P22" s="98" t="str">
        <f t="shared" si="2"/>
        <v/>
      </c>
      <c r="Q22" s="98" t="str">
        <f t="shared" si="3"/>
        <v/>
      </c>
      <c r="R22" s="98" t="str">
        <f t="shared" si="4"/>
        <v/>
      </c>
      <c r="S22" s="47"/>
      <c r="T22" s="99">
        <f>IFERROR(S22/Dashboard!$AB$13,"")</f>
        <v>0</v>
      </c>
      <c r="U22" s="47"/>
    </row>
    <row r="23" spans="1:21" ht="15" customHeight="1" x14ac:dyDescent="0.25">
      <c r="A23" s="47"/>
      <c r="B23" s="47"/>
      <c r="C23" s="47"/>
      <c r="D23" s="47"/>
      <c r="E23" s="47"/>
      <c r="F23" s="47"/>
      <c r="G23" s="47"/>
      <c r="H23" s="70"/>
      <c r="I23" s="98"/>
      <c r="J23" s="98"/>
      <c r="K23" s="98" t="str">
        <f t="shared" si="0"/>
        <v/>
      </c>
      <c r="L23" s="70"/>
      <c r="M23" s="98"/>
      <c r="N23" s="98"/>
      <c r="O23" s="98" t="str">
        <f t="shared" si="1"/>
        <v/>
      </c>
      <c r="P23" s="98" t="str">
        <f t="shared" si="2"/>
        <v/>
      </c>
      <c r="Q23" s="98" t="str">
        <f t="shared" si="3"/>
        <v/>
      </c>
      <c r="R23" s="98" t="str">
        <f t="shared" si="4"/>
        <v/>
      </c>
      <c r="S23" s="47"/>
      <c r="T23" s="99">
        <f>IFERROR(S23/Dashboard!$AB$13,"")</f>
        <v>0</v>
      </c>
      <c r="U23" s="47"/>
    </row>
    <row r="24" spans="1:21" ht="15" customHeight="1" x14ac:dyDescent="0.25">
      <c r="A24" s="47"/>
      <c r="B24" s="47"/>
      <c r="C24" s="47"/>
      <c r="D24" s="47"/>
      <c r="E24" s="47"/>
      <c r="F24" s="47"/>
      <c r="G24" s="47"/>
      <c r="H24" s="70"/>
      <c r="I24" s="98"/>
      <c r="J24" s="98"/>
      <c r="K24" s="98" t="str">
        <f t="shared" si="0"/>
        <v/>
      </c>
      <c r="L24" s="70"/>
      <c r="M24" s="98"/>
      <c r="N24" s="98"/>
      <c r="O24" s="98" t="str">
        <f t="shared" si="1"/>
        <v/>
      </c>
      <c r="P24" s="98" t="str">
        <f t="shared" si="2"/>
        <v/>
      </c>
      <c r="Q24" s="98" t="str">
        <f t="shared" si="3"/>
        <v/>
      </c>
      <c r="R24" s="98" t="str">
        <f t="shared" si="4"/>
        <v/>
      </c>
      <c r="S24" s="47"/>
      <c r="T24" s="99">
        <f>IFERROR(S24/Dashboard!$AB$13,"")</f>
        <v>0</v>
      </c>
      <c r="U24" s="47"/>
    </row>
    <row r="25" spans="1:21" ht="15" customHeight="1" x14ac:dyDescent="0.25">
      <c r="A25" s="47"/>
      <c r="B25" s="47"/>
      <c r="C25" s="47"/>
      <c r="D25" s="47"/>
      <c r="E25" s="47"/>
      <c r="F25" s="47"/>
      <c r="G25" s="47"/>
      <c r="H25" s="70"/>
      <c r="I25" s="98"/>
      <c r="J25" s="98"/>
      <c r="K25" s="98" t="str">
        <f t="shared" si="0"/>
        <v/>
      </c>
      <c r="L25" s="70"/>
      <c r="M25" s="98"/>
      <c r="N25" s="98"/>
      <c r="O25" s="98" t="str">
        <f t="shared" si="1"/>
        <v/>
      </c>
      <c r="P25" s="98" t="str">
        <f t="shared" si="2"/>
        <v/>
      </c>
      <c r="Q25" s="98" t="str">
        <f t="shared" si="3"/>
        <v/>
      </c>
      <c r="R25" s="98" t="str">
        <f t="shared" si="4"/>
        <v/>
      </c>
      <c r="S25" s="47"/>
      <c r="T25" s="99">
        <f>IFERROR(S25/Dashboard!$AB$13,"")</f>
        <v>0</v>
      </c>
      <c r="U25" s="47"/>
    </row>
    <row r="26" spans="1:21" ht="15" customHeight="1" x14ac:dyDescent="0.25">
      <c r="A26" s="47"/>
      <c r="B26" s="47"/>
      <c r="C26" s="47"/>
      <c r="D26" s="47"/>
      <c r="E26" s="47"/>
      <c r="F26" s="47"/>
      <c r="G26" s="47"/>
      <c r="H26" s="70"/>
      <c r="I26" s="98"/>
      <c r="J26" s="98"/>
      <c r="K26" s="98" t="str">
        <f t="shared" si="0"/>
        <v/>
      </c>
      <c r="L26" s="70"/>
      <c r="M26" s="98"/>
      <c r="N26" s="98"/>
      <c r="O26" s="98" t="str">
        <f t="shared" si="1"/>
        <v/>
      </c>
      <c r="P26" s="98" t="str">
        <f t="shared" si="2"/>
        <v/>
      </c>
      <c r="Q26" s="98" t="str">
        <f t="shared" si="3"/>
        <v/>
      </c>
      <c r="R26" s="98" t="str">
        <f t="shared" si="4"/>
        <v/>
      </c>
      <c r="S26" s="47"/>
      <c r="T26" s="99">
        <f>IFERROR(S26/Dashboard!$AB$13,"")</f>
        <v>0</v>
      </c>
      <c r="U26" s="47"/>
    </row>
    <row r="27" spans="1:21" ht="15" customHeight="1" x14ac:dyDescent="0.25">
      <c r="A27" s="47"/>
      <c r="B27" s="47"/>
      <c r="C27" s="47"/>
      <c r="D27" s="47"/>
      <c r="E27" s="47"/>
      <c r="F27" s="47"/>
      <c r="G27" s="47"/>
      <c r="H27" s="70"/>
      <c r="I27" s="98"/>
      <c r="J27" s="98"/>
      <c r="K27" s="98" t="str">
        <f t="shared" si="0"/>
        <v/>
      </c>
      <c r="L27" s="70"/>
      <c r="M27" s="98"/>
      <c r="N27" s="98"/>
      <c r="O27" s="98" t="str">
        <f t="shared" si="1"/>
        <v/>
      </c>
      <c r="P27" s="98" t="str">
        <f t="shared" si="2"/>
        <v/>
      </c>
      <c r="Q27" s="98" t="str">
        <f t="shared" si="3"/>
        <v/>
      </c>
      <c r="R27" s="98" t="str">
        <f t="shared" si="4"/>
        <v/>
      </c>
      <c r="S27" s="47"/>
      <c r="T27" s="99">
        <f>IFERROR(S27/Dashboard!$AB$13,"")</f>
        <v>0</v>
      </c>
      <c r="U27" s="47"/>
    </row>
    <row r="28" spans="1:21" ht="15" customHeight="1" x14ac:dyDescent="0.25">
      <c r="A28" s="47"/>
      <c r="B28" s="47"/>
      <c r="C28" s="47"/>
      <c r="D28" s="47"/>
      <c r="E28" s="47"/>
      <c r="F28" s="47"/>
      <c r="G28" s="47"/>
      <c r="H28" s="70"/>
      <c r="I28" s="98"/>
      <c r="J28" s="98"/>
      <c r="K28" s="98" t="str">
        <f t="shared" si="0"/>
        <v/>
      </c>
      <c r="L28" s="70"/>
      <c r="M28" s="98"/>
      <c r="N28" s="98"/>
      <c r="O28" s="98" t="str">
        <f t="shared" si="1"/>
        <v/>
      </c>
      <c r="P28" s="98" t="str">
        <f t="shared" si="2"/>
        <v/>
      </c>
      <c r="Q28" s="98" t="str">
        <f t="shared" si="3"/>
        <v/>
      </c>
      <c r="R28" s="98" t="str">
        <f t="shared" si="4"/>
        <v/>
      </c>
      <c r="S28" s="47"/>
      <c r="T28" s="99">
        <f>IFERROR(S28/Dashboard!$AB$13,"")</f>
        <v>0</v>
      </c>
      <c r="U28" s="47"/>
    </row>
    <row r="29" spans="1:21" ht="15" customHeight="1" x14ac:dyDescent="0.25">
      <c r="A29" s="47"/>
      <c r="B29" s="47"/>
      <c r="C29" s="47"/>
      <c r="D29" s="47"/>
      <c r="E29" s="47"/>
      <c r="F29" s="47"/>
      <c r="G29" s="47"/>
      <c r="H29" s="70"/>
      <c r="I29" s="98"/>
      <c r="J29" s="98"/>
      <c r="K29" s="98" t="str">
        <f t="shared" si="0"/>
        <v/>
      </c>
      <c r="L29" s="70"/>
      <c r="M29" s="98"/>
      <c r="N29" s="98"/>
      <c r="O29" s="98" t="str">
        <f t="shared" si="1"/>
        <v/>
      </c>
      <c r="P29" s="98" t="str">
        <f t="shared" si="2"/>
        <v/>
      </c>
      <c r="Q29" s="98" t="str">
        <f t="shared" si="3"/>
        <v/>
      </c>
      <c r="R29" s="98" t="str">
        <f t="shared" si="4"/>
        <v/>
      </c>
      <c r="S29" s="47"/>
      <c r="T29" s="99">
        <f>IFERROR(S29/Dashboard!$AB$13,"")</f>
        <v>0</v>
      </c>
      <c r="U29" s="47"/>
    </row>
    <row r="30" spans="1:21" ht="15" customHeight="1" x14ac:dyDescent="0.25">
      <c r="A30" s="47"/>
      <c r="B30" s="47"/>
      <c r="C30" s="47"/>
      <c r="D30" s="47"/>
      <c r="E30" s="47"/>
      <c r="F30" s="47"/>
      <c r="G30" s="47"/>
      <c r="H30" s="70"/>
      <c r="I30" s="98"/>
      <c r="J30" s="98"/>
      <c r="K30" s="98" t="str">
        <f t="shared" si="0"/>
        <v/>
      </c>
      <c r="L30" s="70"/>
      <c r="M30" s="98"/>
      <c r="N30" s="98"/>
      <c r="O30" s="98" t="str">
        <f t="shared" si="1"/>
        <v/>
      </c>
      <c r="P30" s="98" t="str">
        <f t="shared" si="2"/>
        <v/>
      </c>
      <c r="Q30" s="98" t="str">
        <f t="shared" si="3"/>
        <v/>
      </c>
      <c r="R30" s="98" t="str">
        <f t="shared" si="4"/>
        <v/>
      </c>
      <c r="S30" s="47"/>
      <c r="T30" s="99">
        <f>IFERROR(S30/Dashboard!$AB$13,"")</f>
        <v>0</v>
      </c>
      <c r="U30" s="47"/>
    </row>
    <row r="31" spans="1:21" ht="15" customHeight="1" x14ac:dyDescent="0.25">
      <c r="A31" s="47"/>
      <c r="B31" s="47"/>
      <c r="C31" s="47"/>
      <c r="D31" s="47"/>
      <c r="E31" s="47"/>
      <c r="F31" s="47"/>
      <c r="G31" s="47"/>
      <c r="H31" s="70"/>
      <c r="I31" s="98"/>
      <c r="J31" s="98"/>
      <c r="K31" s="98" t="str">
        <f t="shared" si="0"/>
        <v/>
      </c>
      <c r="L31" s="70"/>
      <c r="M31" s="98"/>
      <c r="N31" s="98"/>
      <c r="O31" s="98" t="str">
        <f t="shared" si="1"/>
        <v/>
      </c>
      <c r="P31" s="98" t="str">
        <f t="shared" si="2"/>
        <v/>
      </c>
      <c r="Q31" s="98" t="str">
        <f t="shared" si="3"/>
        <v/>
      </c>
      <c r="R31" s="98" t="str">
        <f t="shared" si="4"/>
        <v/>
      </c>
      <c r="S31" s="47"/>
      <c r="T31" s="99">
        <f>IFERROR(S31/Dashboard!$AB$13,"")</f>
        <v>0</v>
      </c>
      <c r="U31" s="47"/>
    </row>
    <row r="32" spans="1:21" ht="15" customHeight="1" x14ac:dyDescent="0.25">
      <c r="A32" s="47"/>
      <c r="B32" s="47"/>
      <c r="C32" s="47"/>
      <c r="D32" s="47"/>
      <c r="E32" s="47"/>
      <c r="F32" s="47"/>
      <c r="G32" s="47"/>
      <c r="H32" s="70"/>
      <c r="I32" s="98"/>
      <c r="J32" s="98"/>
      <c r="K32" s="98" t="str">
        <f t="shared" si="0"/>
        <v/>
      </c>
      <c r="L32" s="70"/>
      <c r="M32" s="98"/>
      <c r="N32" s="98"/>
      <c r="O32" s="98" t="str">
        <f t="shared" si="1"/>
        <v/>
      </c>
      <c r="P32" s="98" t="str">
        <f t="shared" si="2"/>
        <v/>
      </c>
      <c r="Q32" s="98" t="str">
        <f t="shared" si="3"/>
        <v/>
      </c>
      <c r="R32" s="98" t="str">
        <f t="shared" si="4"/>
        <v/>
      </c>
      <c r="S32" s="47"/>
      <c r="T32" s="99">
        <f>IFERROR(S32/Dashboard!$AB$13,"")</f>
        <v>0</v>
      </c>
      <c r="U32" s="47"/>
    </row>
    <row r="33" spans="1:21" ht="15" customHeight="1" x14ac:dyDescent="0.25">
      <c r="A33" s="47"/>
      <c r="B33" s="47"/>
      <c r="C33" s="47"/>
      <c r="D33" s="47"/>
      <c r="E33" s="47"/>
      <c r="F33" s="47"/>
      <c r="G33" s="47"/>
      <c r="H33" s="70"/>
      <c r="I33" s="98"/>
      <c r="J33" s="98"/>
      <c r="K33" s="98" t="str">
        <f t="shared" si="0"/>
        <v/>
      </c>
      <c r="L33" s="70"/>
      <c r="M33" s="98"/>
      <c r="N33" s="98"/>
      <c r="O33" s="98" t="str">
        <f t="shared" si="1"/>
        <v/>
      </c>
      <c r="P33" s="98" t="str">
        <f t="shared" si="2"/>
        <v/>
      </c>
      <c r="Q33" s="98" t="str">
        <f t="shared" si="3"/>
        <v/>
      </c>
      <c r="R33" s="98" t="str">
        <f t="shared" si="4"/>
        <v/>
      </c>
      <c r="S33" s="47"/>
      <c r="T33" s="99">
        <f>IFERROR(S33/Dashboard!$AB$13,"")</f>
        <v>0</v>
      </c>
      <c r="U33" s="47"/>
    </row>
    <row r="34" spans="1:21" ht="15" customHeight="1" x14ac:dyDescent="0.25">
      <c r="A34" s="47"/>
      <c r="B34" s="47"/>
      <c r="C34" s="47"/>
      <c r="D34" s="47"/>
      <c r="E34" s="47"/>
      <c r="F34" s="47"/>
      <c r="G34" s="47"/>
      <c r="H34" s="70"/>
      <c r="I34" s="98"/>
      <c r="J34" s="98"/>
      <c r="K34" s="98" t="str">
        <f t="shared" si="0"/>
        <v/>
      </c>
      <c r="L34" s="70"/>
      <c r="M34" s="98"/>
      <c r="N34" s="98"/>
      <c r="O34" s="98" t="str">
        <f t="shared" si="1"/>
        <v/>
      </c>
      <c r="P34" s="98" t="str">
        <f t="shared" si="2"/>
        <v/>
      </c>
      <c r="Q34" s="98" t="str">
        <f t="shared" si="3"/>
        <v/>
      </c>
      <c r="R34" s="98" t="str">
        <f t="shared" si="4"/>
        <v/>
      </c>
      <c r="S34" s="47"/>
      <c r="T34" s="99">
        <f>IFERROR(S34/Dashboard!$AB$13,"")</f>
        <v>0</v>
      </c>
      <c r="U34" s="47"/>
    </row>
    <row r="35" spans="1:21" ht="15" customHeight="1" x14ac:dyDescent="0.25">
      <c r="A35" s="47"/>
      <c r="B35" s="47"/>
      <c r="C35" s="47"/>
      <c r="D35" s="47"/>
      <c r="E35" s="47"/>
      <c r="F35" s="47"/>
      <c r="G35" s="47"/>
      <c r="H35" s="70"/>
      <c r="I35" s="98"/>
      <c r="J35" s="98"/>
      <c r="K35" s="98" t="str">
        <f t="shared" si="0"/>
        <v/>
      </c>
      <c r="L35" s="70"/>
      <c r="M35" s="98"/>
      <c r="N35" s="98"/>
      <c r="O35" s="98" t="str">
        <f t="shared" si="1"/>
        <v/>
      </c>
      <c r="P35" s="98" t="str">
        <f t="shared" si="2"/>
        <v/>
      </c>
      <c r="Q35" s="98" t="str">
        <f t="shared" si="3"/>
        <v/>
      </c>
      <c r="R35" s="98" t="str">
        <f t="shared" si="4"/>
        <v/>
      </c>
      <c r="S35" s="47"/>
      <c r="T35" s="99">
        <f>IFERROR(S35/Dashboard!$AB$13,"")</f>
        <v>0</v>
      </c>
      <c r="U35" s="47"/>
    </row>
    <row r="36" spans="1:21" ht="15" customHeight="1" x14ac:dyDescent="0.25">
      <c r="A36" s="47"/>
      <c r="B36" s="47"/>
      <c r="C36" s="47"/>
      <c r="D36" s="47"/>
      <c r="E36" s="47"/>
      <c r="F36" s="47"/>
      <c r="G36" s="47"/>
      <c r="H36" s="70"/>
      <c r="I36" s="98"/>
      <c r="J36" s="98"/>
      <c r="K36" s="98" t="str">
        <f t="shared" si="0"/>
        <v/>
      </c>
      <c r="L36" s="70"/>
      <c r="M36" s="98"/>
      <c r="N36" s="98"/>
      <c r="O36" s="98" t="str">
        <f t="shared" si="1"/>
        <v/>
      </c>
      <c r="P36" s="98" t="str">
        <f t="shared" si="2"/>
        <v/>
      </c>
      <c r="Q36" s="98" t="str">
        <f t="shared" si="3"/>
        <v/>
      </c>
      <c r="R36" s="98" t="str">
        <f t="shared" si="4"/>
        <v/>
      </c>
      <c r="S36" s="47"/>
      <c r="T36" s="99">
        <f>IFERROR(S36/Dashboard!$AB$13,"")</f>
        <v>0</v>
      </c>
      <c r="U36" s="47"/>
    </row>
    <row r="37" spans="1:21" ht="15" customHeight="1" x14ac:dyDescent="0.25">
      <c r="A37" s="47"/>
      <c r="B37" s="47"/>
      <c r="C37" s="47"/>
      <c r="D37" s="47"/>
      <c r="E37" s="47"/>
      <c r="F37" s="47"/>
      <c r="G37" s="47"/>
      <c r="H37" s="70"/>
      <c r="I37" s="98"/>
      <c r="J37" s="98"/>
      <c r="K37" s="98" t="str">
        <f t="shared" ref="K37:K68" si="5">IFERROR(J37/((I37/100)^2),"")</f>
        <v/>
      </c>
      <c r="L37" s="70"/>
      <c r="M37" s="98"/>
      <c r="N37" s="98"/>
      <c r="O37" s="98" t="str">
        <f t="shared" ref="O37:O68" si="6">IFERROR(N37/((M37/100)^2),"")</f>
        <v/>
      </c>
      <c r="P37" s="98" t="str">
        <f t="shared" ref="P37:P68" si="7">IF(OR(N37="",J37=""),"",N37-J37)</f>
        <v/>
      </c>
      <c r="Q37" s="98" t="str">
        <f t="shared" ref="Q37:Q68" si="8">IF(OR(M37="",I37=""),"",M37-I37)</f>
        <v/>
      </c>
      <c r="R37" s="98" t="str">
        <f t="shared" ref="R37:R68" si="9">IF(OR(O37="",K37=""),"",O37-K37)</f>
        <v/>
      </c>
      <c r="S37" s="47"/>
      <c r="T37" s="99">
        <f>IFERROR(S37/Dashboard!$AB$13,"")</f>
        <v>0</v>
      </c>
      <c r="U37" s="47"/>
    </row>
    <row r="38" spans="1:21" ht="15" customHeight="1" x14ac:dyDescent="0.25">
      <c r="A38" s="47"/>
      <c r="B38" s="47"/>
      <c r="C38" s="47"/>
      <c r="D38" s="47"/>
      <c r="E38" s="47"/>
      <c r="F38" s="47"/>
      <c r="G38" s="47"/>
      <c r="H38" s="70"/>
      <c r="I38" s="98"/>
      <c r="J38" s="98"/>
      <c r="K38" s="98" t="str">
        <f t="shared" si="5"/>
        <v/>
      </c>
      <c r="L38" s="70"/>
      <c r="M38" s="98"/>
      <c r="N38" s="98"/>
      <c r="O38" s="98" t="str">
        <f t="shared" si="6"/>
        <v/>
      </c>
      <c r="P38" s="98" t="str">
        <f t="shared" si="7"/>
        <v/>
      </c>
      <c r="Q38" s="98" t="str">
        <f t="shared" si="8"/>
        <v/>
      </c>
      <c r="R38" s="98" t="str">
        <f t="shared" si="9"/>
        <v/>
      </c>
      <c r="S38" s="47"/>
      <c r="T38" s="99">
        <f>IFERROR(S38/Dashboard!$AB$13,"")</f>
        <v>0</v>
      </c>
      <c r="U38" s="47"/>
    </row>
    <row r="39" spans="1:21" ht="15" customHeight="1" x14ac:dyDescent="0.25">
      <c r="A39" s="47"/>
      <c r="B39" s="47"/>
      <c r="C39" s="47"/>
      <c r="D39" s="47"/>
      <c r="E39" s="47"/>
      <c r="F39" s="47"/>
      <c r="G39" s="47"/>
      <c r="H39" s="70"/>
      <c r="I39" s="98"/>
      <c r="J39" s="98"/>
      <c r="K39" s="98" t="str">
        <f t="shared" si="5"/>
        <v/>
      </c>
      <c r="L39" s="70"/>
      <c r="M39" s="98"/>
      <c r="N39" s="98"/>
      <c r="O39" s="98" t="str">
        <f t="shared" si="6"/>
        <v/>
      </c>
      <c r="P39" s="98" t="str">
        <f t="shared" si="7"/>
        <v/>
      </c>
      <c r="Q39" s="98" t="str">
        <f t="shared" si="8"/>
        <v/>
      </c>
      <c r="R39" s="98" t="str">
        <f t="shared" si="9"/>
        <v/>
      </c>
      <c r="S39" s="47"/>
      <c r="T39" s="99">
        <f>IFERROR(S39/Dashboard!$AB$13,"")</f>
        <v>0</v>
      </c>
      <c r="U39" s="47"/>
    </row>
    <row r="40" spans="1:21" ht="15" customHeight="1" x14ac:dyDescent="0.25">
      <c r="A40" s="47"/>
      <c r="B40" s="47"/>
      <c r="C40" s="47"/>
      <c r="D40" s="47"/>
      <c r="E40" s="47"/>
      <c r="F40" s="47"/>
      <c r="G40" s="47"/>
      <c r="H40" s="70"/>
      <c r="I40" s="98"/>
      <c r="J40" s="98"/>
      <c r="K40" s="98" t="str">
        <f t="shared" si="5"/>
        <v/>
      </c>
      <c r="L40" s="70"/>
      <c r="M40" s="98"/>
      <c r="N40" s="98"/>
      <c r="O40" s="98" t="str">
        <f t="shared" si="6"/>
        <v/>
      </c>
      <c r="P40" s="98" t="str">
        <f t="shared" si="7"/>
        <v/>
      </c>
      <c r="Q40" s="98" t="str">
        <f t="shared" si="8"/>
        <v/>
      </c>
      <c r="R40" s="98" t="str">
        <f t="shared" si="9"/>
        <v/>
      </c>
      <c r="S40" s="47"/>
      <c r="T40" s="99">
        <f>IFERROR(S40/Dashboard!$AB$13,"")</f>
        <v>0</v>
      </c>
      <c r="U40" s="47"/>
    </row>
    <row r="41" spans="1:21" ht="15" customHeight="1" x14ac:dyDescent="0.25">
      <c r="A41" s="47"/>
      <c r="B41" s="47"/>
      <c r="C41" s="47"/>
      <c r="D41" s="47"/>
      <c r="E41" s="47"/>
      <c r="F41" s="47"/>
      <c r="G41" s="47"/>
      <c r="H41" s="70"/>
      <c r="I41" s="98"/>
      <c r="J41" s="98"/>
      <c r="K41" s="98" t="str">
        <f t="shared" si="5"/>
        <v/>
      </c>
      <c r="L41" s="70"/>
      <c r="M41" s="98"/>
      <c r="N41" s="98"/>
      <c r="O41" s="98" t="str">
        <f t="shared" si="6"/>
        <v/>
      </c>
      <c r="P41" s="98" t="str">
        <f t="shared" si="7"/>
        <v/>
      </c>
      <c r="Q41" s="98" t="str">
        <f t="shared" si="8"/>
        <v/>
      </c>
      <c r="R41" s="98" t="str">
        <f t="shared" si="9"/>
        <v/>
      </c>
      <c r="S41" s="47"/>
      <c r="T41" s="99">
        <f>IFERROR(S41/Dashboard!$AB$13,"")</f>
        <v>0</v>
      </c>
      <c r="U41" s="47"/>
    </row>
    <row r="42" spans="1:21" ht="15" customHeight="1" x14ac:dyDescent="0.25">
      <c r="A42" s="47"/>
      <c r="B42" s="47"/>
      <c r="C42" s="47"/>
      <c r="D42" s="47"/>
      <c r="E42" s="47"/>
      <c r="F42" s="47"/>
      <c r="G42" s="47"/>
      <c r="H42" s="70"/>
      <c r="I42" s="98"/>
      <c r="J42" s="98"/>
      <c r="K42" s="98" t="str">
        <f t="shared" si="5"/>
        <v/>
      </c>
      <c r="L42" s="70"/>
      <c r="M42" s="98"/>
      <c r="N42" s="98"/>
      <c r="O42" s="98" t="str">
        <f t="shared" si="6"/>
        <v/>
      </c>
      <c r="P42" s="98" t="str">
        <f t="shared" si="7"/>
        <v/>
      </c>
      <c r="Q42" s="98" t="str">
        <f t="shared" si="8"/>
        <v/>
      </c>
      <c r="R42" s="98" t="str">
        <f t="shared" si="9"/>
        <v/>
      </c>
      <c r="S42" s="47"/>
      <c r="T42" s="99">
        <f>IFERROR(S42/Dashboard!$AB$13,"")</f>
        <v>0</v>
      </c>
      <c r="U42" s="47"/>
    </row>
    <row r="43" spans="1:21" ht="15" customHeight="1" x14ac:dyDescent="0.25">
      <c r="A43" s="47"/>
      <c r="B43" s="47"/>
      <c r="C43" s="47"/>
      <c r="D43" s="47"/>
      <c r="E43" s="47"/>
      <c r="F43" s="47"/>
      <c r="G43" s="47"/>
      <c r="H43" s="70"/>
      <c r="I43" s="98"/>
      <c r="J43" s="98"/>
      <c r="K43" s="98" t="str">
        <f t="shared" si="5"/>
        <v/>
      </c>
      <c r="L43" s="70"/>
      <c r="M43" s="98"/>
      <c r="N43" s="98"/>
      <c r="O43" s="98" t="str">
        <f t="shared" si="6"/>
        <v/>
      </c>
      <c r="P43" s="98" t="str">
        <f t="shared" si="7"/>
        <v/>
      </c>
      <c r="Q43" s="98" t="str">
        <f t="shared" si="8"/>
        <v/>
      </c>
      <c r="R43" s="98" t="str">
        <f t="shared" si="9"/>
        <v/>
      </c>
      <c r="S43" s="47"/>
      <c r="T43" s="99">
        <f>IFERROR(S43/Dashboard!$AB$13,"")</f>
        <v>0</v>
      </c>
      <c r="U43" s="47"/>
    </row>
    <row r="44" spans="1:21" ht="15" customHeight="1" x14ac:dyDescent="0.25">
      <c r="A44" s="47"/>
      <c r="B44" s="47"/>
      <c r="C44" s="47"/>
      <c r="D44" s="47"/>
      <c r="E44" s="47"/>
      <c r="F44" s="47"/>
      <c r="G44" s="47"/>
      <c r="H44" s="70"/>
      <c r="I44" s="98"/>
      <c r="J44" s="98"/>
      <c r="K44" s="98" t="str">
        <f t="shared" si="5"/>
        <v/>
      </c>
      <c r="L44" s="70"/>
      <c r="M44" s="98"/>
      <c r="N44" s="98"/>
      <c r="O44" s="98" t="str">
        <f t="shared" si="6"/>
        <v/>
      </c>
      <c r="P44" s="98" t="str">
        <f t="shared" si="7"/>
        <v/>
      </c>
      <c r="Q44" s="98" t="str">
        <f t="shared" si="8"/>
        <v/>
      </c>
      <c r="R44" s="98" t="str">
        <f t="shared" si="9"/>
        <v/>
      </c>
      <c r="S44" s="47"/>
      <c r="T44" s="99">
        <f>IFERROR(S44/Dashboard!$AB$13,"")</f>
        <v>0</v>
      </c>
      <c r="U44" s="47"/>
    </row>
    <row r="45" spans="1:21" ht="15" customHeight="1" x14ac:dyDescent="0.25">
      <c r="A45" s="47"/>
      <c r="B45" s="47"/>
      <c r="C45" s="47"/>
      <c r="D45" s="47"/>
      <c r="E45" s="47"/>
      <c r="F45" s="47"/>
      <c r="G45" s="47"/>
      <c r="H45" s="70"/>
      <c r="I45" s="98"/>
      <c r="J45" s="98"/>
      <c r="K45" s="98" t="str">
        <f t="shared" si="5"/>
        <v/>
      </c>
      <c r="L45" s="70"/>
      <c r="M45" s="98"/>
      <c r="N45" s="98"/>
      <c r="O45" s="98" t="str">
        <f t="shared" si="6"/>
        <v/>
      </c>
      <c r="P45" s="98" t="str">
        <f t="shared" si="7"/>
        <v/>
      </c>
      <c r="Q45" s="98" t="str">
        <f t="shared" si="8"/>
        <v/>
      </c>
      <c r="R45" s="98" t="str">
        <f t="shared" si="9"/>
        <v/>
      </c>
      <c r="S45" s="47"/>
      <c r="T45" s="99">
        <f>IFERROR(S45/Dashboard!$AB$13,"")</f>
        <v>0</v>
      </c>
      <c r="U45" s="47"/>
    </row>
    <row r="46" spans="1:21" ht="15" customHeight="1" x14ac:dyDescent="0.25">
      <c r="A46" s="47"/>
      <c r="B46" s="47"/>
      <c r="C46" s="47"/>
      <c r="D46" s="47"/>
      <c r="E46" s="47"/>
      <c r="F46" s="47"/>
      <c r="G46" s="47"/>
      <c r="H46" s="70"/>
      <c r="I46" s="98"/>
      <c r="J46" s="98"/>
      <c r="K46" s="98" t="str">
        <f t="shared" si="5"/>
        <v/>
      </c>
      <c r="L46" s="70"/>
      <c r="M46" s="98"/>
      <c r="N46" s="98"/>
      <c r="O46" s="98" t="str">
        <f t="shared" si="6"/>
        <v/>
      </c>
      <c r="P46" s="98" t="str">
        <f t="shared" si="7"/>
        <v/>
      </c>
      <c r="Q46" s="98" t="str">
        <f t="shared" si="8"/>
        <v/>
      </c>
      <c r="R46" s="98" t="str">
        <f t="shared" si="9"/>
        <v/>
      </c>
      <c r="S46" s="47"/>
      <c r="T46" s="99">
        <f>IFERROR(S46/Dashboard!$AB$13,"")</f>
        <v>0</v>
      </c>
      <c r="U46" s="47"/>
    </row>
    <row r="47" spans="1:21" ht="15" customHeight="1" x14ac:dyDescent="0.25">
      <c r="A47" s="47"/>
      <c r="B47" s="47"/>
      <c r="C47" s="47"/>
      <c r="D47" s="47"/>
      <c r="E47" s="47"/>
      <c r="F47" s="47"/>
      <c r="G47" s="47"/>
      <c r="H47" s="70"/>
      <c r="I47" s="98"/>
      <c r="J47" s="98"/>
      <c r="K47" s="98" t="str">
        <f t="shared" si="5"/>
        <v/>
      </c>
      <c r="L47" s="70"/>
      <c r="M47" s="98"/>
      <c r="N47" s="98"/>
      <c r="O47" s="98" t="str">
        <f t="shared" si="6"/>
        <v/>
      </c>
      <c r="P47" s="98" t="str">
        <f t="shared" si="7"/>
        <v/>
      </c>
      <c r="Q47" s="98" t="str">
        <f t="shared" si="8"/>
        <v/>
      </c>
      <c r="R47" s="98" t="str">
        <f t="shared" si="9"/>
        <v/>
      </c>
      <c r="S47" s="47"/>
      <c r="T47" s="99">
        <f>IFERROR(S47/Dashboard!$AB$13,"")</f>
        <v>0</v>
      </c>
      <c r="U47" s="47"/>
    </row>
    <row r="48" spans="1:21" ht="15" customHeight="1" x14ac:dyDescent="0.25">
      <c r="A48" s="47"/>
      <c r="B48" s="47"/>
      <c r="C48" s="47"/>
      <c r="D48" s="47"/>
      <c r="E48" s="47"/>
      <c r="F48" s="47"/>
      <c r="G48" s="47"/>
      <c r="H48" s="70"/>
      <c r="I48" s="98"/>
      <c r="J48" s="98"/>
      <c r="K48" s="98" t="str">
        <f t="shared" si="5"/>
        <v/>
      </c>
      <c r="L48" s="70"/>
      <c r="M48" s="98"/>
      <c r="N48" s="98"/>
      <c r="O48" s="98" t="str">
        <f t="shared" si="6"/>
        <v/>
      </c>
      <c r="P48" s="98" t="str">
        <f t="shared" si="7"/>
        <v/>
      </c>
      <c r="Q48" s="98" t="str">
        <f t="shared" si="8"/>
        <v/>
      </c>
      <c r="R48" s="98" t="str">
        <f t="shared" si="9"/>
        <v/>
      </c>
      <c r="S48" s="47"/>
      <c r="T48" s="99">
        <f>IFERROR(S48/Dashboard!$AB$13,"")</f>
        <v>0</v>
      </c>
      <c r="U48" s="47"/>
    </row>
    <row r="49" spans="1:21" ht="15" customHeight="1" x14ac:dyDescent="0.25">
      <c r="A49" s="47"/>
      <c r="B49" s="47"/>
      <c r="C49" s="47"/>
      <c r="D49" s="47"/>
      <c r="E49" s="47"/>
      <c r="F49" s="47"/>
      <c r="G49" s="47"/>
      <c r="H49" s="70"/>
      <c r="I49" s="98"/>
      <c r="J49" s="98"/>
      <c r="K49" s="98" t="str">
        <f t="shared" si="5"/>
        <v/>
      </c>
      <c r="L49" s="70"/>
      <c r="M49" s="98"/>
      <c r="N49" s="98"/>
      <c r="O49" s="98" t="str">
        <f t="shared" si="6"/>
        <v/>
      </c>
      <c r="P49" s="98" t="str">
        <f t="shared" si="7"/>
        <v/>
      </c>
      <c r="Q49" s="98" t="str">
        <f t="shared" si="8"/>
        <v/>
      </c>
      <c r="R49" s="98" t="str">
        <f t="shared" si="9"/>
        <v/>
      </c>
      <c r="S49" s="47"/>
      <c r="T49" s="99">
        <f>IFERROR(S49/Dashboard!$AB$13,"")</f>
        <v>0</v>
      </c>
      <c r="U49" s="47"/>
    </row>
    <row r="50" spans="1:21" ht="15" customHeight="1" x14ac:dyDescent="0.25">
      <c r="A50" s="47"/>
      <c r="B50" s="47"/>
      <c r="C50" s="47"/>
      <c r="D50" s="47"/>
      <c r="E50" s="47"/>
      <c r="F50" s="47"/>
      <c r="G50" s="47"/>
      <c r="H50" s="70"/>
      <c r="I50" s="98"/>
      <c r="J50" s="98"/>
      <c r="K50" s="98" t="str">
        <f t="shared" si="5"/>
        <v/>
      </c>
      <c r="L50" s="70"/>
      <c r="M50" s="98"/>
      <c r="N50" s="98"/>
      <c r="O50" s="98" t="str">
        <f t="shared" si="6"/>
        <v/>
      </c>
      <c r="P50" s="98" t="str">
        <f t="shared" si="7"/>
        <v/>
      </c>
      <c r="Q50" s="98" t="str">
        <f t="shared" si="8"/>
        <v/>
      </c>
      <c r="R50" s="98" t="str">
        <f t="shared" si="9"/>
        <v/>
      </c>
      <c r="S50" s="47"/>
      <c r="T50" s="99">
        <f>IFERROR(S50/Dashboard!$AB$13,"")</f>
        <v>0</v>
      </c>
      <c r="U50" s="47"/>
    </row>
    <row r="51" spans="1:21" ht="15" customHeight="1" x14ac:dyDescent="0.25">
      <c r="A51" s="47"/>
      <c r="B51" s="47"/>
      <c r="C51" s="47"/>
      <c r="D51" s="47"/>
      <c r="E51" s="47"/>
      <c r="F51" s="47"/>
      <c r="G51" s="47"/>
      <c r="H51" s="70"/>
      <c r="I51" s="98"/>
      <c r="J51" s="98"/>
      <c r="K51" s="98" t="str">
        <f t="shared" si="5"/>
        <v/>
      </c>
      <c r="L51" s="70"/>
      <c r="M51" s="98"/>
      <c r="N51" s="98"/>
      <c r="O51" s="98" t="str">
        <f t="shared" si="6"/>
        <v/>
      </c>
      <c r="P51" s="98" t="str">
        <f t="shared" si="7"/>
        <v/>
      </c>
      <c r="Q51" s="98" t="str">
        <f t="shared" si="8"/>
        <v/>
      </c>
      <c r="R51" s="98" t="str">
        <f t="shared" si="9"/>
        <v/>
      </c>
      <c r="S51" s="47"/>
      <c r="T51" s="99">
        <f>IFERROR(S51/Dashboard!$AB$13,"")</f>
        <v>0</v>
      </c>
      <c r="U51" s="47"/>
    </row>
    <row r="52" spans="1:21" ht="15" customHeight="1" x14ac:dyDescent="0.25">
      <c r="A52" s="47"/>
      <c r="B52" s="47"/>
      <c r="C52" s="47"/>
      <c r="D52" s="47"/>
      <c r="E52" s="47"/>
      <c r="F52" s="47"/>
      <c r="G52" s="47"/>
      <c r="H52" s="70"/>
      <c r="I52" s="98"/>
      <c r="J52" s="98"/>
      <c r="K52" s="98" t="str">
        <f t="shared" si="5"/>
        <v/>
      </c>
      <c r="L52" s="70"/>
      <c r="M52" s="98"/>
      <c r="N52" s="98"/>
      <c r="O52" s="98" t="str">
        <f t="shared" si="6"/>
        <v/>
      </c>
      <c r="P52" s="98" t="str">
        <f t="shared" si="7"/>
        <v/>
      </c>
      <c r="Q52" s="98" t="str">
        <f t="shared" si="8"/>
        <v/>
      </c>
      <c r="R52" s="98" t="str">
        <f t="shared" si="9"/>
        <v/>
      </c>
      <c r="S52" s="47"/>
      <c r="T52" s="99">
        <f>IFERROR(S52/Dashboard!$AB$13,"")</f>
        <v>0</v>
      </c>
      <c r="U52" s="47"/>
    </row>
    <row r="53" spans="1:21" ht="15" customHeight="1" x14ac:dyDescent="0.25">
      <c r="A53" s="47"/>
      <c r="B53" s="47"/>
      <c r="C53" s="47"/>
      <c r="D53" s="47"/>
      <c r="E53" s="47"/>
      <c r="F53" s="47"/>
      <c r="G53" s="47"/>
      <c r="H53" s="70"/>
      <c r="I53" s="98"/>
      <c r="J53" s="98"/>
      <c r="K53" s="98" t="str">
        <f t="shared" si="5"/>
        <v/>
      </c>
      <c r="L53" s="70"/>
      <c r="M53" s="98"/>
      <c r="N53" s="98"/>
      <c r="O53" s="98" t="str">
        <f t="shared" si="6"/>
        <v/>
      </c>
      <c r="P53" s="98" t="str">
        <f t="shared" si="7"/>
        <v/>
      </c>
      <c r="Q53" s="98" t="str">
        <f t="shared" si="8"/>
        <v/>
      </c>
      <c r="R53" s="98" t="str">
        <f t="shared" si="9"/>
        <v/>
      </c>
      <c r="S53" s="47"/>
      <c r="T53" s="99">
        <f>IFERROR(S53/Dashboard!$AB$13,"")</f>
        <v>0</v>
      </c>
      <c r="U53" s="47"/>
    </row>
    <row r="54" spans="1:21" ht="15" customHeight="1" x14ac:dyDescent="0.25">
      <c r="A54" s="47"/>
      <c r="B54" s="47"/>
      <c r="C54" s="47"/>
      <c r="D54" s="47"/>
      <c r="E54" s="47"/>
      <c r="F54" s="47"/>
      <c r="G54" s="47"/>
      <c r="H54" s="70"/>
      <c r="I54" s="98"/>
      <c r="J54" s="98"/>
      <c r="K54" s="98" t="str">
        <f t="shared" si="5"/>
        <v/>
      </c>
      <c r="L54" s="70"/>
      <c r="M54" s="98"/>
      <c r="N54" s="98"/>
      <c r="O54" s="98" t="str">
        <f t="shared" si="6"/>
        <v/>
      </c>
      <c r="P54" s="98" t="str">
        <f t="shared" si="7"/>
        <v/>
      </c>
      <c r="Q54" s="98" t="str">
        <f t="shared" si="8"/>
        <v/>
      </c>
      <c r="R54" s="98" t="str">
        <f t="shared" si="9"/>
        <v/>
      </c>
      <c r="S54" s="47"/>
      <c r="T54" s="99">
        <f>IFERROR(S54/Dashboard!$AB$13,"")</f>
        <v>0</v>
      </c>
      <c r="U54" s="47"/>
    </row>
    <row r="55" spans="1:21" ht="15" customHeight="1" x14ac:dyDescent="0.25">
      <c r="A55" s="47"/>
      <c r="B55" s="47"/>
      <c r="C55" s="47"/>
      <c r="D55" s="47"/>
      <c r="E55" s="47"/>
      <c r="F55" s="47"/>
      <c r="G55" s="47"/>
      <c r="H55" s="70"/>
      <c r="I55" s="98"/>
      <c r="J55" s="98"/>
      <c r="K55" s="98" t="str">
        <f t="shared" si="5"/>
        <v/>
      </c>
      <c r="L55" s="70"/>
      <c r="M55" s="98"/>
      <c r="N55" s="98"/>
      <c r="O55" s="98" t="str">
        <f t="shared" si="6"/>
        <v/>
      </c>
      <c r="P55" s="98" t="str">
        <f t="shared" si="7"/>
        <v/>
      </c>
      <c r="Q55" s="98" t="str">
        <f t="shared" si="8"/>
        <v/>
      </c>
      <c r="R55" s="98" t="str">
        <f t="shared" si="9"/>
        <v/>
      </c>
      <c r="S55" s="47"/>
      <c r="T55" s="99">
        <f>IFERROR(S55/Dashboard!$AB$13,"")</f>
        <v>0</v>
      </c>
      <c r="U55" s="47"/>
    </row>
    <row r="56" spans="1:21" ht="15" customHeight="1" x14ac:dyDescent="0.25">
      <c r="A56" s="47"/>
      <c r="B56" s="47"/>
      <c r="C56" s="47"/>
      <c r="D56" s="47"/>
      <c r="E56" s="47"/>
      <c r="F56" s="47"/>
      <c r="G56" s="47"/>
      <c r="H56" s="70"/>
      <c r="I56" s="98"/>
      <c r="J56" s="98"/>
      <c r="K56" s="98" t="str">
        <f t="shared" si="5"/>
        <v/>
      </c>
      <c r="L56" s="70"/>
      <c r="M56" s="98"/>
      <c r="N56" s="98"/>
      <c r="O56" s="98" t="str">
        <f t="shared" si="6"/>
        <v/>
      </c>
      <c r="P56" s="98" t="str">
        <f t="shared" si="7"/>
        <v/>
      </c>
      <c r="Q56" s="98" t="str">
        <f t="shared" si="8"/>
        <v/>
      </c>
      <c r="R56" s="98" t="str">
        <f t="shared" si="9"/>
        <v/>
      </c>
      <c r="S56" s="47"/>
      <c r="T56" s="99">
        <f>IFERROR(S56/Dashboard!$AB$13,"")</f>
        <v>0</v>
      </c>
      <c r="U56" s="47"/>
    </row>
    <row r="57" spans="1:21" ht="15" customHeight="1" x14ac:dyDescent="0.25">
      <c r="A57" s="47"/>
      <c r="B57" s="47"/>
      <c r="C57" s="47"/>
      <c r="D57" s="47"/>
      <c r="E57" s="47"/>
      <c r="F57" s="47"/>
      <c r="G57" s="47"/>
      <c r="H57" s="70"/>
      <c r="I57" s="98"/>
      <c r="J57" s="98"/>
      <c r="K57" s="98" t="str">
        <f t="shared" si="5"/>
        <v/>
      </c>
      <c r="L57" s="70"/>
      <c r="M57" s="98"/>
      <c r="N57" s="98"/>
      <c r="O57" s="98" t="str">
        <f t="shared" si="6"/>
        <v/>
      </c>
      <c r="P57" s="98" t="str">
        <f t="shared" si="7"/>
        <v/>
      </c>
      <c r="Q57" s="98" t="str">
        <f t="shared" si="8"/>
        <v/>
      </c>
      <c r="R57" s="98" t="str">
        <f t="shared" si="9"/>
        <v/>
      </c>
      <c r="S57" s="47"/>
      <c r="T57" s="99">
        <f>IFERROR(S57/Dashboard!$AB$13,"")</f>
        <v>0</v>
      </c>
      <c r="U57" s="47"/>
    </row>
    <row r="58" spans="1:21" ht="15" customHeight="1" x14ac:dyDescent="0.25">
      <c r="A58" s="47"/>
      <c r="B58" s="47"/>
      <c r="C58" s="47"/>
      <c r="D58" s="47"/>
      <c r="E58" s="47"/>
      <c r="F58" s="47"/>
      <c r="G58" s="47"/>
      <c r="H58" s="70"/>
      <c r="I58" s="98"/>
      <c r="J58" s="98"/>
      <c r="K58" s="98" t="str">
        <f t="shared" si="5"/>
        <v/>
      </c>
      <c r="L58" s="70"/>
      <c r="M58" s="98"/>
      <c r="N58" s="98"/>
      <c r="O58" s="98" t="str">
        <f t="shared" si="6"/>
        <v/>
      </c>
      <c r="P58" s="98" t="str">
        <f t="shared" si="7"/>
        <v/>
      </c>
      <c r="Q58" s="98" t="str">
        <f t="shared" si="8"/>
        <v/>
      </c>
      <c r="R58" s="98" t="str">
        <f t="shared" si="9"/>
        <v/>
      </c>
      <c r="S58" s="47"/>
      <c r="T58" s="99">
        <f>IFERROR(S58/Dashboard!$AB$13,"")</f>
        <v>0</v>
      </c>
      <c r="U58" s="47"/>
    </row>
    <row r="59" spans="1:21" ht="15" customHeight="1" x14ac:dyDescent="0.25">
      <c r="A59" s="47"/>
      <c r="B59" s="47"/>
      <c r="C59" s="47"/>
      <c r="D59" s="47"/>
      <c r="E59" s="47"/>
      <c r="F59" s="47"/>
      <c r="G59" s="47"/>
      <c r="H59" s="70"/>
      <c r="I59" s="98"/>
      <c r="J59" s="98"/>
      <c r="K59" s="98" t="str">
        <f t="shared" si="5"/>
        <v/>
      </c>
      <c r="L59" s="70"/>
      <c r="M59" s="98"/>
      <c r="N59" s="98"/>
      <c r="O59" s="98" t="str">
        <f t="shared" si="6"/>
        <v/>
      </c>
      <c r="P59" s="98" t="str">
        <f t="shared" si="7"/>
        <v/>
      </c>
      <c r="Q59" s="98" t="str">
        <f t="shared" si="8"/>
        <v/>
      </c>
      <c r="R59" s="98" t="str">
        <f t="shared" si="9"/>
        <v/>
      </c>
      <c r="S59" s="47"/>
      <c r="T59" s="99">
        <f>IFERROR(S59/Dashboard!$AB$13,"")</f>
        <v>0</v>
      </c>
      <c r="U59" s="47"/>
    </row>
    <row r="60" spans="1:21" ht="15" customHeight="1" x14ac:dyDescent="0.25">
      <c r="A60" s="47"/>
      <c r="B60" s="47"/>
      <c r="C60" s="47"/>
      <c r="D60" s="47"/>
      <c r="E60" s="47"/>
      <c r="F60" s="47"/>
      <c r="G60" s="47"/>
      <c r="H60" s="70"/>
      <c r="I60" s="98"/>
      <c r="J60" s="98"/>
      <c r="K60" s="98" t="str">
        <f t="shared" si="5"/>
        <v/>
      </c>
      <c r="L60" s="70"/>
      <c r="M60" s="98"/>
      <c r="N60" s="98"/>
      <c r="O60" s="98" t="str">
        <f t="shared" si="6"/>
        <v/>
      </c>
      <c r="P60" s="98" t="str">
        <f t="shared" si="7"/>
        <v/>
      </c>
      <c r="Q60" s="98" t="str">
        <f t="shared" si="8"/>
        <v/>
      </c>
      <c r="R60" s="98" t="str">
        <f t="shared" si="9"/>
        <v/>
      </c>
      <c r="S60" s="47"/>
      <c r="T60" s="99">
        <f>IFERROR(S60/Dashboard!$AB$13,"")</f>
        <v>0</v>
      </c>
      <c r="U60" s="47"/>
    </row>
    <row r="61" spans="1:21" ht="15" customHeight="1" x14ac:dyDescent="0.25">
      <c r="A61" s="47"/>
      <c r="B61" s="47"/>
      <c r="C61" s="47"/>
      <c r="D61" s="47"/>
      <c r="E61" s="47"/>
      <c r="F61" s="47"/>
      <c r="G61" s="47"/>
      <c r="H61" s="70"/>
      <c r="I61" s="98"/>
      <c r="J61" s="98"/>
      <c r="K61" s="98" t="str">
        <f t="shared" si="5"/>
        <v/>
      </c>
      <c r="L61" s="70"/>
      <c r="M61" s="98"/>
      <c r="N61" s="98"/>
      <c r="O61" s="98" t="str">
        <f t="shared" si="6"/>
        <v/>
      </c>
      <c r="P61" s="98" t="str">
        <f t="shared" si="7"/>
        <v/>
      </c>
      <c r="Q61" s="98" t="str">
        <f t="shared" si="8"/>
        <v/>
      </c>
      <c r="R61" s="98" t="str">
        <f t="shared" si="9"/>
        <v/>
      </c>
      <c r="S61" s="47"/>
      <c r="T61" s="99">
        <f>IFERROR(S61/Dashboard!$AB$13,"")</f>
        <v>0</v>
      </c>
      <c r="U61" s="47"/>
    </row>
    <row r="62" spans="1:21" ht="15" customHeight="1" x14ac:dyDescent="0.25">
      <c r="A62" s="47"/>
      <c r="B62" s="47"/>
      <c r="C62" s="47"/>
      <c r="D62" s="47"/>
      <c r="E62" s="47"/>
      <c r="F62" s="47"/>
      <c r="G62" s="47"/>
      <c r="H62" s="70"/>
      <c r="I62" s="98"/>
      <c r="J62" s="98"/>
      <c r="K62" s="98" t="str">
        <f t="shared" si="5"/>
        <v/>
      </c>
      <c r="L62" s="70"/>
      <c r="M62" s="98"/>
      <c r="N62" s="98"/>
      <c r="O62" s="98" t="str">
        <f t="shared" si="6"/>
        <v/>
      </c>
      <c r="P62" s="98" t="str">
        <f t="shared" si="7"/>
        <v/>
      </c>
      <c r="Q62" s="98" t="str">
        <f t="shared" si="8"/>
        <v/>
      </c>
      <c r="R62" s="98" t="str">
        <f t="shared" si="9"/>
        <v/>
      </c>
      <c r="S62" s="47"/>
      <c r="T62" s="99">
        <f>IFERROR(S62/Dashboard!$AB$13,"")</f>
        <v>0</v>
      </c>
      <c r="U62" s="47"/>
    </row>
    <row r="63" spans="1:21" ht="15" customHeight="1" x14ac:dyDescent="0.25">
      <c r="A63" s="47"/>
      <c r="B63" s="47"/>
      <c r="C63" s="47"/>
      <c r="D63" s="47"/>
      <c r="E63" s="47"/>
      <c r="F63" s="47"/>
      <c r="G63" s="47"/>
      <c r="H63" s="70"/>
      <c r="I63" s="98"/>
      <c r="J63" s="98"/>
      <c r="K63" s="98" t="str">
        <f t="shared" si="5"/>
        <v/>
      </c>
      <c r="L63" s="70"/>
      <c r="M63" s="98"/>
      <c r="N63" s="98"/>
      <c r="O63" s="98" t="str">
        <f t="shared" si="6"/>
        <v/>
      </c>
      <c r="P63" s="98" t="str">
        <f t="shared" si="7"/>
        <v/>
      </c>
      <c r="Q63" s="98" t="str">
        <f t="shared" si="8"/>
        <v/>
      </c>
      <c r="R63" s="98" t="str">
        <f t="shared" si="9"/>
        <v/>
      </c>
      <c r="S63" s="47"/>
      <c r="T63" s="99">
        <f>IFERROR(S63/Dashboard!$AB$13,"")</f>
        <v>0</v>
      </c>
      <c r="U63" s="47"/>
    </row>
    <row r="64" spans="1:21" ht="15" customHeight="1" x14ac:dyDescent="0.25">
      <c r="A64" s="47"/>
      <c r="B64" s="47"/>
      <c r="C64" s="47"/>
      <c r="D64" s="47"/>
      <c r="E64" s="47"/>
      <c r="F64" s="47"/>
      <c r="G64" s="47"/>
      <c r="H64" s="70"/>
      <c r="I64" s="98"/>
      <c r="J64" s="98"/>
      <c r="K64" s="98" t="str">
        <f t="shared" si="5"/>
        <v/>
      </c>
      <c r="L64" s="70"/>
      <c r="M64" s="98"/>
      <c r="N64" s="98"/>
      <c r="O64" s="98" t="str">
        <f t="shared" si="6"/>
        <v/>
      </c>
      <c r="P64" s="98" t="str">
        <f t="shared" si="7"/>
        <v/>
      </c>
      <c r="Q64" s="98" t="str">
        <f t="shared" si="8"/>
        <v/>
      </c>
      <c r="R64" s="98" t="str">
        <f t="shared" si="9"/>
        <v/>
      </c>
      <c r="S64" s="47"/>
      <c r="T64" s="99">
        <f>IFERROR(S64/Dashboard!$AB$13,"")</f>
        <v>0</v>
      </c>
      <c r="U64" s="47"/>
    </row>
    <row r="65" spans="1:21" ht="15" customHeight="1" x14ac:dyDescent="0.25">
      <c r="A65" s="47"/>
      <c r="B65" s="47"/>
      <c r="C65" s="47"/>
      <c r="D65" s="47"/>
      <c r="E65" s="47"/>
      <c r="F65" s="47"/>
      <c r="G65" s="47"/>
      <c r="H65" s="70"/>
      <c r="I65" s="98"/>
      <c r="J65" s="98"/>
      <c r="K65" s="98" t="str">
        <f t="shared" si="5"/>
        <v/>
      </c>
      <c r="L65" s="70"/>
      <c r="M65" s="98"/>
      <c r="N65" s="98"/>
      <c r="O65" s="98" t="str">
        <f t="shared" si="6"/>
        <v/>
      </c>
      <c r="P65" s="98" t="str">
        <f t="shared" si="7"/>
        <v/>
      </c>
      <c r="Q65" s="98" t="str">
        <f t="shared" si="8"/>
        <v/>
      </c>
      <c r="R65" s="98" t="str">
        <f t="shared" si="9"/>
        <v/>
      </c>
      <c r="S65" s="47"/>
      <c r="T65" s="99">
        <f>IFERROR(S65/Dashboard!$AB$13,"")</f>
        <v>0</v>
      </c>
      <c r="U65" s="47"/>
    </row>
    <row r="66" spans="1:21" ht="15" customHeight="1" x14ac:dyDescent="0.25">
      <c r="A66" s="47"/>
      <c r="B66" s="47"/>
      <c r="C66" s="47"/>
      <c r="D66" s="47"/>
      <c r="E66" s="47"/>
      <c r="F66" s="47"/>
      <c r="G66" s="47"/>
      <c r="H66" s="70"/>
      <c r="I66" s="98"/>
      <c r="J66" s="98"/>
      <c r="K66" s="98" t="str">
        <f t="shared" si="5"/>
        <v/>
      </c>
      <c r="L66" s="70"/>
      <c r="M66" s="98"/>
      <c r="N66" s="98"/>
      <c r="O66" s="98" t="str">
        <f t="shared" si="6"/>
        <v/>
      </c>
      <c r="P66" s="98" t="str">
        <f t="shared" si="7"/>
        <v/>
      </c>
      <c r="Q66" s="98" t="str">
        <f t="shared" si="8"/>
        <v/>
      </c>
      <c r="R66" s="98" t="str">
        <f t="shared" si="9"/>
        <v/>
      </c>
      <c r="S66" s="47"/>
      <c r="T66" s="99">
        <f>IFERROR(S66/Dashboard!$AB$13,"")</f>
        <v>0</v>
      </c>
      <c r="U66" s="47"/>
    </row>
    <row r="67" spans="1:21" ht="15" customHeight="1" x14ac:dyDescent="0.25">
      <c r="A67" s="47"/>
      <c r="B67" s="47"/>
      <c r="C67" s="47"/>
      <c r="D67" s="47"/>
      <c r="E67" s="47"/>
      <c r="F67" s="47"/>
      <c r="G67" s="47"/>
      <c r="H67" s="70"/>
      <c r="I67" s="98"/>
      <c r="J67" s="98"/>
      <c r="K67" s="98" t="str">
        <f t="shared" si="5"/>
        <v/>
      </c>
      <c r="L67" s="70"/>
      <c r="M67" s="98"/>
      <c r="N67" s="98"/>
      <c r="O67" s="98" t="str">
        <f t="shared" si="6"/>
        <v/>
      </c>
      <c r="P67" s="98" t="str">
        <f t="shared" si="7"/>
        <v/>
      </c>
      <c r="Q67" s="98" t="str">
        <f t="shared" si="8"/>
        <v/>
      </c>
      <c r="R67" s="98" t="str">
        <f t="shared" si="9"/>
        <v/>
      </c>
      <c r="S67" s="47"/>
      <c r="T67" s="99">
        <f>IFERROR(S67/Dashboard!$AB$13,"")</f>
        <v>0</v>
      </c>
      <c r="U67" s="47"/>
    </row>
    <row r="68" spans="1:21" ht="15" customHeight="1" x14ac:dyDescent="0.25">
      <c r="A68" s="47"/>
      <c r="B68" s="47"/>
      <c r="C68" s="47"/>
      <c r="D68" s="47"/>
      <c r="E68" s="47"/>
      <c r="F68" s="47"/>
      <c r="G68" s="47"/>
      <c r="H68" s="70"/>
      <c r="I68" s="98"/>
      <c r="J68" s="98"/>
      <c r="K68" s="98" t="str">
        <f t="shared" si="5"/>
        <v/>
      </c>
      <c r="L68" s="70"/>
      <c r="M68" s="98"/>
      <c r="N68" s="98"/>
      <c r="O68" s="98" t="str">
        <f t="shared" si="6"/>
        <v/>
      </c>
      <c r="P68" s="98" t="str">
        <f t="shared" si="7"/>
        <v/>
      </c>
      <c r="Q68" s="98" t="str">
        <f t="shared" si="8"/>
        <v/>
      </c>
      <c r="R68" s="98" t="str">
        <f t="shared" si="9"/>
        <v/>
      </c>
      <c r="S68" s="47"/>
      <c r="T68" s="99">
        <f>IFERROR(S68/Dashboard!$AB$13,"")</f>
        <v>0</v>
      </c>
      <c r="U68" s="47"/>
    </row>
    <row r="69" spans="1:21" ht="15" customHeight="1" x14ac:dyDescent="0.25">
      <c r="A69" s="47"/>
      <c r="B69" s="47"/>
      <c r="C69" s="47"/>
      <c r="D69" s="47"/>
      <c r="E69" s="47"/>
      <c r="F69" s="47"/>
      <c r="G69" s="47"/>
      <c r="H69" s="70"/>
      <c r="I69" s="98"/>
      <c r="J69" s="98"/>
      <c r="K69" s="98" t="str">
        <f t="shared" ref="K69:K100" si="10">IFERROR(J69/((I69/100)^2),"")</f>
        <v/>
      </c>
      <c r="L69" s="70"/>
      <c r="M69" s="98"/>
      <c r="N69" s="98"/>
      <c r="O69" s="98" t="str">
        <f t="shared" ref="O69:O100" si="11">IFERROR(N69/((M69/100)^2),"")</f>
        <v/>
      </c>
      <c r="P69" s="98" t="str">
        <f t="shared" ref="P69:P104" si="12">IF(OR(N69="",J69=""),"",N69-J69)</f>
        <v/>
      </c>
      <c r="Q69" s="98" t="str">
        <f t="shared" ref="Q69:Q104" si="13">IF(OR(M69="",I69=""),"",M69-I69)</f>
        <v/>
      </c>
      <c r="R69" s="98" t="str">
        <f t="shared" ref="R69:R104" si="14">IF(OR(O69="",K69=""),"",O69-K69)</f>
        <v/>
      </c>
      <c r="S69" s="47"/>
      <c r="T69" s="99">
        <f>IFERROR(S69/Dashboard!$AB$13,"")</f>
        <v>0</v>
      </c>
      <c r="U69" s="47"/>
    </row>
    <row r="70" spans="1:21" ht="15" customHeight="1" x14ac:dyDescent="0.25">
      <c r="A70" s="47"/>
      <c r="B70" s="47"/>
      <c r="C70" s="47"/>
      <c r="D70" s="47"/>
      <c r="E70" s="47"/>
      <c r="F70" s="47"/>
      <c r="G70" s="47"/>
      <c r="H70" s="70"/>
      <c r="I70" s="98"/>
      <c r="J70" s="98"/>
      <c r="K70" s="98" t="str">
        <f t="shared" si="10"/>
        <v/>
      </c>
      <c r="L70" s="70"/>
      <c r="M70" s="98"/>
      <c r="N70" s="98"/>
      <c r="O70" s="98" t="str">
        <f t="shared" si="11"/>
        <v/>
      </c>
      <c r="P70" s="98" t="str">
        <f t="shared" si="12"/>
        <v/>
      </c>
      <c r="Q70" s="98" t="str">
        <f t="shared" si="13"/>
        <v/>
      </c>
      <c r="R70" s="98" t="str">
        <f t="shared" si="14"/>
        <v/>
      </c>
      <c r="S70" s="47"/>
      <c r="T70" s="99">
        <f>IFERROR(S70/Dashboard!$AB$13,"")</f>
        <v>0</v>
      </c>
      <c r="U70" s="47"/>
    </row>
    <row r="71" spans="1:21" ht="15" customHeight="1" x14ac:dyDescent="0.25">
      <c r="A71" s="47"/>
      <c r="B71" s="47"/>
      <c r="C71" s="47"/>
      <c r="D71" s="47"/>
      <c r="E71" s="47"/>
      <c r="F71" s="47"/>
      <c r="G71" s="47"/>
      <c r="H71" s="70"/>
      <c r="I71" s="98"/>
      <c r="J71" s="98"/>
      <c r="K71" s="98" t="str">
        <f t="shared" si="10"/>
        <v/>
      </c>
      <c r="L71" s="70"/>
      <c r="M71" s="98"/>
      <c r="N71" s="98"/>
      <c r="O71" s="98" t="str">
        <f t="shared" si="11"/>
        <v/>
      </c>
      <c r="P71" s="98" t="str">
        <f t="shared" si="12"/>
        <v/>
      </c>
      <c r="Q71" s="98" t="str">
        <f t="shared" si="13"/>
        <v/>
      </c>
      <c r="R71" s="98" t="str">
        <f t="shared" si="14"/>
        <v/>
      </c>
      <c r="S71" s="47"/>
      <c r="T71" s="99">
        <f>IFERROR(S71/Dashboard!$AB$13,"")</f>
        <v>0</v>
      </c>
      <c r="U71" s="47"/>
    </row>
    <row r="72" spans="1:21" ht="15" customHeight="1" x14ac:dyDescent="0.25">
      <c r="A72" s="47"/>
      <c r="B72" s="47"/>
      <c r="C72" s="47"/>
      <c r="D72" s="47"/>
      <c r="E72" s="47"/>
      <c r="F72" s="47"/>
      <c r="G72" s="47"/>
      <c r="H72" s="70"/>
      <c r="I72" s="98"/>
      <c r="J72" s="98"/>
      <c r="K72" s="98" t="str">
        <f t="shared" si="10"/>
        <v/>
      </c>
      <c r="L72" s="70"/>
      <c r="M72" s="98"/>
      <c r="N72" s="98"/>
      <c r="O72" s="98" t="str">
        <f t="shared" si="11"/>
        <v/>
      </c>
      <c r="P72" s="98" t="str">
        <f t="shared" si="12"/>
        <v/>
      </c>
      <c r="Q72" s="98" t="str">
        <f t="shared" si="13"/>
        <v/>
      </c>
      <c r="R72" s="98" t="str">
        <f t="shared" si="14"/>
        <v/>
      </c>
      <c r="S72" s="47"/>
      <c r="T72" s="99">
        <f>IFERROR(S72/Dashboard!$AB$13,"")</f>
        <v>0</v>
      </c>
      <c r="U72" s="47"/>
    </row>
    <row r="73" spans="1:21" ht="15" customHeight="1" x14ac:dyDescent="0.25">
      <c r="A73" s="47"/>
      <c r="B73" s="47"/>
      <c r="C73" s="47"/>
      <c r="D73" s="47"/>
      <c r="E73" s="47"/>
      <c r="F73" s="47"/>
      <c r="G73" s="47"/>
      <c r="H73" s="70"/>
      <c r="I73" s="98"/>
      <c r="J73" s="98"/>
      <c r="K73" s="98" t="str">
        <f t="shared" si="10"/>
        <v/>
      </c>
      <c r="L73" s="70"/>
      <c r="M73" s="98"/>
      <c r="N73" s="98"/>
      <c r="O73" s="98" t="str">
        <f t="shared" si="11"/>
        <v/>
      </c>
      <c r="P73" s="98" t="str">
        <f t="shared" si="12"/>
        <v/>
      </c>
      <c r="Q73" s="98" t="str">
        <f t="shared" si="13"/>
        <v/>
      </c>
      <c r="R73" s="98" t="str">
        <f t="shared" si="14"/>
        <v/>
      </c>
      <c r="S73" s="47"/>
      <c r="T73" s="99">
        <f>IFERROR(S73/Dashboard!$AB$13,"")</f>
        <v>0</v>
      </c>
      <c r="U73" s="47"/>
    </row>
    <row r="74" spans="1:21" ht="15" customHeight="1" x14ac:dyDescent="0.25">
      <c r="A74" s="47"/>
      <c r="B74" s="47"/>
      <c r="C74" s="47"/>
      <c r="D74" s="47"/>
      <c r="E74" s="47"/>
      <c r="F74" s="47"/>
      <c r="G74" s="47"/>
      <c r="H74" s="70"/>
      <c r="I74" s="98"/>
      <c r="J74" s="98"/>
      <c r="K74" s="98" t="str">
        <f t="shared" si="10"/>
        <v/>
      </c>
      <c r="L74" s="70"/>
      <c r="M74" s="98"/>
      <c r="N74" s="98"/>
      <c r="O74" s="98" t="str">
        <f t="shared" si="11"/>
        <v/>
      </c>
      <c r="P74" s="98" t="str">
        <f t="shared" si="12"/>
        <v/>
      </c>
      <c r="Q74" s="98" t="str">
        <f t="shared" si="13"/>
        <v/>
      </c>
      <c r="R74" s="98" t="str">
        <f t="shared" si="14"/>
        <v/>
      </c>
      <c r="S74" s="47"/>
      <c r="T74" s="99">
        <f>IFERROR(S74/Dashboard!$AB$13,"")</f>
        <v>0</v>
      </c>
      <c r="U74" s="47"/>
    </row>
    <row r="75" spans="1:21" ht="15" customHeight="1" x14ac:dyDescent="0.25">
      <c r="A75" s="47"/>
      <c r="B75" s="47"/>
      <c r="C75" s="47"/>
      <c r="D75" s="47"/>
      <c r="E75" s="47"/>
      <c r="F75" s="47"/>
      <c r="G75" s="47"/>
      <c r="H75" s="70"/>
      <c r="I75" s="98"/>
      <c r="J75" s="98"/>
      <c r="K75" s="98" t="str">
        <f t="shared" si="10"/>
        <v/>
      </c>
      <c r="L75" s="70"/>
      <c r="M75" s="98"/>
      <c r="N75" s="98"/>
      <c r="O75" s="98" t="str">
        <f t="shared" si="11"/>
        <v/>
      </c>
      <c r="P75" s="98" t="str">
        <f t="shared" si="12"/>
        <v/>
      </c>
      <c r="Q75" s="98" t="str">
        <f t="shared" si="13"/>
        <v/>
      </c>
      <c r="R75" s="98" t="str">
        <f t="shared" si="14"/>
        <v/>
      </c>
      <c r="S75" s="47"/>
      <c r="T75" s="99">
        <f>IFERROR(S75/Dashboard!$AB$13,"")</f>
        <v>0</v>
      </c>
      <c r="U75" s="47"/>
    </row>
    <row r="76" spans="1:21" ht="15" customHeight="1" x14ac:dyDescent="0.25">
      <c r="A76" s="47"/>
      <c r="B76" s="47"/>
      <c r="C76" s="47"/>
      <c r="D76" s="47"/>
      <c r="E76" s="47"/>
      <c r="F76" s="47"/>
      <c r="G76" s="47"/>
      <c r="H76" s="70"/>
      <c r="I76" s="98"/>
      <c r="J76" s="98"/>
      <c r="K76" s="98" t="str">
        <f t="shared" si="10"/>
        <v/>
      </c>
      <c r="L76" s="70"/>
      <c r="M76" s="98"/>
      <c r="N76" s="98"/>
      <c r="O76" s="98" t="str">
        <f t="shared" si="11"/>
        <v/>
      </c>
      <c r="P76" s="98" t="str">
        <f t="shared" si="12"/>
        <v/>
      </c>
      <c r="Q76" s="98" t="str">
        <f t="shared" si="13"/>
        <v/>
      </c>
      <c r="R76" s="98" t="str">
        <f t="shared" si="14"/>
        <v/>
      </c>
      <c r="S76" s="47"/>
      <c r="T76" s="99">
        <f>IFERROR(S76/Dashboard!$AB$13,"")</f>
        <v>0</v>
      </c>
      <c r="U76" s="47"/>
    </row>
    <row r="77" spans="1:21" ht="15" customHeight="1" x14ac:dyDescent="0.25">
      <c r="A77" s="47"/>
      <c r="B77" s="47"/>
      <c r="C77" s="47"/>
      <c r="D77" s="47"/>
      <c r="E77" s="47"/>
      <c r="F77" s="47"/>
      <c r="G77" s="47"/>
      <c r="H77" s="70"/>
      <c r="I77" s="98"/>
      <c r="J77" s="98"/>
      <c r="K77" s="98" t="str">
        <f t="shared" si="10"/>
        <v/>
      </c>
      <c r="L77" s="70"/>
      <c r="M77" s="98"/>
      <c r="N77" s="98"/>
      <c r="O77" s="98" t="str">
        <f t="shared" si="11"/>
        <v/>
      </c>
      <c r="P77" s="98" t="str">
        <f t="shared" si="12"/>
        <v/>
      </c>
      <c r="Q77" s="98" t="str">
        <f t="shared" si="13"/>
        <v/>
      </c>
      <c r="R77" s="98" t="str">
        <f t="shared" si="14"/>
        <v/>
      </c>
      <c r="S77" s="47"/>
      <c r="T77" s="99">
        <f>IFERROR(S77/Dashboard!$AB$13,"")</f>
        <v>0</v>
      </c>
      <c r="U77" s="47"/>
    </row>
    <row r="78" spans="1:21" ht="15" customHeight="1" x14ac:dyDescent="0.25">
      <c r="A78" s="47"/>
      <c r="B78" s="47"/>
      <c r="C78" s="47"/>
      <c r="D78" s="47"/>
      <c r="E78" s="47"/>
      <c r="F78" s="47"/>
      <c r="G78" s="47"/>
      <c r="H78" s="70"/>
      <c r="I78" s="98"/>
      <c r="J78" s="98"/>
      <c r="K78" s="98" t="str">
        <f t="shared" si="10"/>
        <v/>
      </c>
      <c r="L78" s="70"/>
      <c r="M78" s="98"/>
      <c r="N78" s="98"/>
      <c r="O78" s="98" t="str">
        <f t="shared" si="11"/>
        <v/>
      </c>
      <c r="P78" s="98" t="str">
        <f t="shared" si="12"/>
        <v/>
      </c>
      <c r="Q78" s="98" t="str">
        <f t="shared" si="13"/>
        <v/>
      </c>
      <c r="R78" s="98" t="str">
        <f t="shared" si="14"/>
        <v/>
      </c>
      <c r="S78" s="47"/>
      <c r="T78" s="99">
        <f>IFERROR(S78/Dashboard!$AB$13,"")</f>
        <v>0</v>
      </c>
      <c r="U78" s="47"/>
    </row>
    <row r="79" spans="1:21" ht="15" customHeight="1" x14ac:dyDescent="0.25">
      <c r="A79" s="47"/>
      <c r="B79" s="47"/>
      <c r="C79" s="47"/>
      <c r="D79" s="47"/>
      <c r="E79" s="47"/>
      <c r="F79" s="47"/>
      <c r="G79" s="47"/>
      <c r="H79" s="70"/>
      <c r="I79" s="98"/>
      <c r="J79" s="98"/>
      <c r="K79" s="98" t="str">
        <f t="shared" si="10"/>
        <v/>
      </c>
      <c r="L79" s="70"/>
      <c r="M79" s="98"/>
      <c r="N79" s="98"/>
      <c r="O79" s="98" t="str">
        <f t="shared" si="11"/>
        <v/>
      </c>
      <c r="P79" s="98" t="str">
        <f t="shared" si="12"/>
        <v/>
      </c>
      <c r="Q79" s="98" t="str">
        <f t="shared" si="13"/>
        <v/>
      </c>
      <c r="R79" s="98" t="str">
        <f t="shared" si="14"/>
        <v/>
      </c>
      <c r="S79" s="47"/>
      <c r="T79" s="99">
        <f>IFERROR(S79/Dashboard!$AB$13,"")</f>
        <v>0</v>
      </c>
      <c r="U79" s="47"/>
    </row>
    <row r="80" spans="1:21" ht="15" customHeight="1" x14ac:dyDescent="0.25">
      <c r="A80" s="47"/>
      <c r="B80" s="47"/>
      <c r="C80" s="47"/>
      <c r="D80" s="47"/>
      <c r="E80" s="47"/>
      <c r="F80" s="47"/>
      <c r="G80" s="47"/>
      <c r="H80" s="70"/>
      <c r="I80" s="98"/>
      <c r="J80" s="98"/>
      <c r="K80" s="98" t="str">
        <f t="shared" si="10"/>
        <v/>
      </c>
      <c r="L80" s="70"/>
      <c r="M80" s="98"/>
      <c r="N80" s="98"/>
      <c r="O80" s="98" t="str">
        <f t="shared" si="11"/>
        <v/>
      </c>
      <c r="P80" s="98" t="str">
        <f t="shared" si="12"/>
        <v/>
      </c>
      <c r="Q80" s="98" t="str">
        <f t="shared" si="13"/>
        <v/>
      </c>
      <c r="R80" s="98" t="str">
        <f t="shared" si="14"/>
        <v/>
      </c>
      <c r="S80" s="47"/>
      <c r="T80" s="99">
        <f>IFERROR(S80/Dashboard!$AB$13,"")</f>
        <v>0</v>
      </c>
      <c r="U80" s="47"/>
    </row>
    <row r="81" spans="1:21" ht="15" customHeight="1" x14ac:dyDescent="0.25">
      <c r="A81" s="47"/>
      <c r="B81" s="47"/>
      <c r="C81" s="47"/>
      <c r="D81" s="47"/>
      <c r="E81" s="47"/>
      <c r="F81" s="47"/>
      <c r="G81" s="47"/>
      <c r="H81" s="70"/>
      <c r="I81" s="98"/>
      <c r="J81" s="98"/>
      <c r="K81" s="98" t="str">
        <f t="shared" si="10"/>
        <v/>
      </c>
      <c r="L81" s="70"/>
      <c r="M81" s="98"/>
      <c r="N81" s="98"/>
      <c r="O81" s="98" t="str">
        <f t="shared" si="11"/>
        <v/>
      </c>
      <c r="P81" s="98" t="str">
        <f t="shared" si="12"/>
        <v/>
      </c>
      <c r="Q81" s="98" t="str">
        <f t="shared" si="13"/>
        <v/>
      </c>
      <c r="R81" s="98" t="str">
        <f t="shared" si="14"/>
        <v/>
      </c>
      <c r="S81" s="47"/>
      <c r="T81" s="99">
        <f>IFERROR(S81/Dashboard!$AB$13,"")</f>
        <v>0</v>
      </c>
      <c r="U81" s="47"/>
    </row>
    <row r="82" spans="1:21" ht="15" customHeight="1" x14ac:dyDescent="0.25">
      <c r="A82" s="47"/>
      <c r="B82" s="47"/>
      <c r="C82" s="47"/>
      <c r="D82" s="47"/>
      <c r="E82" s="47"/>
      <c r="F82" s="47"/>
      <c r="G82" s="47"/>
      <c r="H82" s="70"/>
      <c r="I82" s="98"/>
      <c r="J82" s="98"/>
      <c r="K82" s="98" t="str">
        <f t="shared" si="10"/>
        <v/>
      </c>
      <c r="L82" s="70"/>
      <c r="M82" s="98"/>
      <c r="N82" s="98"/>
      <c r="O82" s="98" t="str">
        <f t="shared" si="11"/>
        <v/>
      </c>
      <c r="P82" s="98" t="str">
        <f t="shared" si="12"/>
        <v/>
      </c>
      <c r="Q82" s="98" t="str">
        <f t="shared" si="13"/>
        <v/>
      </c>
      <c r="R82" s="98" t="str">
        <f t="shared" si="14"/>
        <v/>
      </c>
      <c r="S82" s="47"/>
      <c r="T82" s="99">
        <f>IFERROR(S82/Dashboard!$AB$13,"")</f>
        <v>0</v>
      </c>
      <c r="U82" s="47"/>
    </row>
    <row r="83" spans="1:21" ht="15" customHeight="1" x14ac:dyDescent="0.25">
      <c r="A83" s="47"/>
      <c r="B83" s="47"/>
      <c r="C83" s="47"/>
      <c r="D83" s="47"/>
      <c r="E83" s="47"/>
      <c r="F83" s="47"/>
      <c r="G83" s="47"/>
      <c r="H83" s="70"/>
      <c r="I83" s="98"/>
      <c r="J83" s="98"/>
      <c r="K83" s="98" t="str">
        <f t="shared" si="10"/>
        <v/>
      </c>
      <c r="L83" s="70"/>
      <c r="M83" s="98"/>
      <c r="N83" s="98"/>
      <c r="O83" s="98" t="str">
        <f t="shared" si="11"/>
        <v/>
      </c>
      <c r="P83" s="98" t="str">
        <f t="shared" si="12"/>
        <v/>
      </c>
      <c r="Q83" s="98" t="str">
        <f t="shared" si="13"/>
        <v/>
      </c>
      <c r="R83" s="98" t="str">
        <f t="shared" si="14"/>
        <v/>
      </c>
      <c r="S83" s="47"/>
      <c r="T83" s="99">
        <f>IFERROR(S83/Dashboard!$AB$13,"")</f>
        <v>0</v>
      </c>
      <c r="U83" s="47"/>
    </row>
    <row r="84" spans="1:21" ht="15" customHeight="1" x14ac:dyDescent="0.25">
      <c r="A84" s="47"/>
      <c r="B84" s="47"/>
      <c r="C84" s="47"/>
      <c r="D84" s="47"/>
      <c r="E84" s="47"/>
      <c r="F84" s="47"/>
      <c r="G84" s="47"/>
      <c r="H84" s="70"/>
      <c r="I84" s="98"/>
      <c r="J84" s="98"/>
      <c r="K84" s="98" t="str">
        <f t="shared" si="10"/>
        <v/>
      </c>
      <c r="L84" s="70"/>
      <c r="M84" s="98"/>
      <c r="N84" s="98"/>
      <c r="O84" s="98" t="str">
        <f t="shared" si="11"/>
        <v/>
      </c>
      <c r="P84" s="98" t="str">
        <f t="shared" si="12"/>
        <v/>
      </c>
      <c r="Q84" s="98" t="str">
        <f t="shared" si="13"/>
        <v/>
      </c>
      <c r="R84" s="98" t="str">
        <f t="shared" si="14"/>
        <v/>
      </c>
      <c r="S84" s="47"/>
      <c r="T84" s="99">
        <f>IFERROR(S84/Dashboard!$AB$13,"")</f>
        <v>0</v>
      </c>
      <c r="U84" s="47"/>
    </row>
    <row r="85" spans="1:21" ht="15" customHeight="1" x14ac:dyDescent="0.25">
      <c r="A85" s="47"/>
      <c r="B85" s="47"/>
      <c r="C85" s="47"/>
      <c r="D85" s="47"/>
      <c r="E85" s="47"/>
      <c r="F85" s="47"/>
      <c r="G85" s="47"/>
      <c r="H85" s="70"/>
      <c r="I85" s="98"/>
      <c r="J85" s="98"/>
      <c r="K85" s="98" t="str">
        <f t="shared" si="10"/>
        <v/>
      </c>
      <c r="L85" s="70"/>
      <c r="M85" s="98"/>
      <c r="N85" s="98"/>
      <c r="O85" s="98" t="str">
        <f t="shared" si="11"/>
        <v/>
      </c>
      <c r="P85" s="98" t="str">
        <f t="shared" si="12"/>
        <v/>
      </c>
      <c r="Q85" s="98" t="str">
        <f t="shared" si="13"/>
        <v/>
      </c>
      <c r="R85" s="98" t="str">
        <f t="shared" si="14"/>
        <v/>
      </c>
      <c r="S85" s="47"/>
      <c r="T85" s="99">
        <f>IFERROR(S85/Dashboard!$AB$13,"")</f>
        <v>0</v>
      </c>
      <c r="U85" s="47"/>
    </row>
    <row r="86" spans="1:21" ht="15" customHeight="1" x14ac:dyDescent="0.25">
      <c r="A86" s="47"/>
      <c r="B86" s="47"/>
      <c r="C86" s="47"/>
      <c r="D86" s="47"/>
      <c r="E86" s="47"/>
      <c r="F86" s="47"/>
      <c r="G86" s="47"/>
      <c r="H86" s="70"/>
      <c r="I86" s="98"/>
      <c r="J86" s="98"/>
      <c r="K86" s="98" t="str">
        <f t="shared" si="10"/>
        <v/>
      </c>
      <c r="L86" s="70"/>
      <c r="M86" s="98"/>
      <c r="N86" s="98"/>
      <c r="O86" s="98" t="str">
        <f t="shared" si="11"/>
        <v/>
      </c>
      <c r="P86" s="98" t="str">
        <f t="shared" si="12"/>
        <v/>
      </c>
      <c r="Q86" s="98" t="str">
        <f t="shared" si="13"/>
        <v/>
      </c>
      <c r="R86" s="98" t="str">
        <f t="shared" si="14"/>
        <v/>
      </c>
      <c r="S86" s="47"/>
      <c r="T86" s="99">
        <f>IFERROR(S86/Dashboard!$AB$13,"")</f>
        <v>0</v>
      </c>
      <c r="U86" s="47"/>
    </row>
    <row r="87" spans="1:21" ht="15" customHeight="1" x14ac:dyDescent="0.25">
      <c r="A87" s="47"/>
      <c r="B87" s="47"/>
      <c r="C87" s="47"/>
      <c r="D87" s="47"/>
      <c r="E87" s="47"/>
      <c r="F87" s="47"/>
      <c r="G87" s="47"/>
      <c r="H87" s="70"/>
      <c r="I87" s="98"/>
      <c r="J87" s="98"/>
      <c r="K87" s="98" t="str">
        <f t="shared" si="10"/>
        <v/>
      </c>
      <c r="L87" s="70"/>
      <c r="M87" s="98"/>
      <c r="N87" s="98"/>
      <c r="O87" s="98" t="str">
        <f t="shared" si="11"/>
        <v/>
      </c>
      <c r="P87" s="98" t="str">
        <f t="shared" si="12"/>
        <v/>
      </c>
      <c r="Q87" s="98" t="str">
        <f t="shared" si="13"/>
        <v/>
      </c>
      <c r="R87" s="98" t="str">
        <f t="shared" si="14"/>
        <v/>
      </c>
      <c r="S87" s="47"/>
      <c r="T87" s="99">
        <f>IFERROR(S87/Dashboard!$AB$13,"")</f>
        <v>0</v>
      </c>
      <c r="U87" s="47"/>
    </row>
    <row r="88" spans="1:21" ht="15" customHeight="1" x14ac:dyDescent="0.25">
      <c r="A88" s="47"/>
      <c r="B88" s="47"/>
      <c r="C88" s="47"/>
      <c r="D88" s="47"/>
      <c r="E88" s="47"/>
      <c r="F88" s="47"/>
      <c r="G88" s="47"/>
      <c r="H88" s="70"/>
      <c r="I88" s="98"/>
      <c r="J88" s="98"/>
      <c r="K88" s="98" t="str">
        <f t="shared" si="10"/>
        <v/>
      </c>
      <c r="L88" s="70"/>
      <c r="M88" s="98"/>
      <c r="N88" s="98"/>
      <c r="O88" s="98" t="str">
        <f t="shared" si="11"/>
        <v/>
      </c>
      <c r="P88" s="98" t="str">
        <f t="shared" si="12"/>
        <v/>
      </c>
      <c r="Q88" s="98" t="str">
        <f t="shared" si="13"/>
        <v/>
      </c>
      <c r="R88" s="98" t="str">
        <f t="shared" si="14"/>
        <v/>
      </c>
      <c r="S88" s="47"/>
      <c r="T88" s="99">
        <f>IFERROR(S88/Dashboard!$AB$13,"")</f>
        <v>0</v>
      </c>
      <c r="U88" s="47"/>
    </row>
    <row r="89" spans="1:21" ht="15" customHeight="1" x14ac:dyDescent="0.25">
      <c r="A89" s="47"/>
      <c r="B89" s="47"/>
      <c r="C89" s="47"/>
      <c r="D89" s="47"/>
      <c r="E89" s="47"/>
      <c r="F89" s="47"/>
      <c r="G89" s="47"/>
      <c r="H89" s="70"/>
      <c r="I89" s="98"/>
      <c r="J89" s="98"/>
      <c r="K89" s="98" t="str">
        <f t="shared" si="10"/>
        <v/>
      </c>
      <c r="L89" s="70"/>
      <c r="M89" s="98"/>
      <c r="N89" s="98"/>
      <c r="O89" s="98" t="str">
        <f t="shared" si="11"/>
        <v/>
      </c>
      <c r="P89" s="98" t="str">
        <f t="shared" si="12"/>
        <v/>
      </c>
      <c r="Q89" s="98" t="str">
        <f t="shared" si="13"/>
        <v/>
      </c>
      <c r="R89" s="98" t="str">
        <f t="shared" si="14"/>
        <v/>
      </c>
      <c r="S89" s="47"/>
      <c r="T89" s="99">
        <f>IFERROR(S89/Dashboard!$AB$13,"")</f>
        <v>0</v>
      </c>
      <c r="U89" s="47"/>
    </row>
    <row r="90" spans="1:21" ht="15" customHeight="1" x14ac:dyDescent="0.25">
      <c r="A90" s="47"/>
      <c r="B90" s="47"/>
      <c r="C90" s="47"/>
      <c r="D90" s="47"/>
      <c r="E90" s="47"/>
      <c r="F90" s="47"/>
      <c r="G90" s="47"/>
      <c r="H90" s="70"/>
      <c r="I90" s="98"/>
      <c r="J90" s="98"/>
      <c r="K90" s="98" t="str">
        <f t="shared" si="10"/>
        <v/>
      </c>
      <c r="L90" s="70"/>
      <c r="M90" s="98"/>
      <c r="N90" s="98"/>
      <c r="O90" s="98" t="str">
        <f t="shared" si="11"/>
        <v/>
      </c>
      <c r="P90" s="98" t="str">
        <f t="shared" si="12"/>
        <v/>
      </c>
      <c r="Q90" s="98" t="str">
        <f t="shared" si="13"/>
        <v/>
      </c>
      <c r="R90" s="98" t="str">
        <f t="shared" si="14"/>
        <v/>
      </c>
      <c r="S90" s="47"/>
      <c r="T90" s="99">
        <f>IFERROR(S90/Dashboard!$AB$13,"")</f>
        <v>0</v>
      </c>
      <c r="U90" s="47"/>
    </row>
    <row r="91" spans="1:21" ht="15" customHeight="1" x14ac:dyDescent="0.25">
      <c r="A91" s="47"/>
      <c r="B91" s="47"/>
      <c r="C91" s="47"/>
      <c r="D91" s="47"/>
      <c r="E91" s="47"/>
      <c r="F91" s="47"/>
      <c r="G91" s="47"/>
      <c r="H91" s="70"/>
      <c r="I91" s="98"/>
      <c r="J91" s="98"/>
      <c r="K91" s="98" t="str">
        <f t="shared" si="10"/>
        <v/>
      </c>
      <c r="L91" s="70"/>
      <c r="M91" s="98"/>
      <c r="N91" s="98"/>
      <c r="O91" s="98" t="str">
        <f t="shared" si="11"/>
        <v/>
      </c>
      <c r="P91" s="98" t="str">
        <f t="shared" si="12"/>
        <v/>
      </c>
      <c r="Q91" s="98" t="str">
        <f t="shared" si="13"/>
        <v/>
      </c>
      <c r="R91" s="98" t="str">
        <f t="shared" si="14"/>
        <v/>
      </c>
      <c r="S91" s="47"/>
      <c r="T91" s="99">
        <f>IFERROR(S91/Dashboard!$AB$13,"")</f>
        <v>0</v>
      </c>
      <c r="U91" s="47"/>
    </row>
    <row r="92" spans="1:21" ht="15" customHeight="1" x14ac:dyDescent="0.25">
      <c r="A92" s="47"/>
      <c r="B92" s="47"/>
      <c r="C92" s="47"/>
      <c r="D92" s="47"/>
      <c r="E92" s="47"/>
      <c r="F92" s="47"/>
      <c r="G92" s="47"/>
      <c r="H92" s="70"/>
      <c r="I92" s="98"/>
      <c r="J92" s="98"/>
      <c r="K92" s="98" t="str">
        <f t="shared" si="10"/>
        <v/>
      </c>
      <c r="L92" s="70"/>
      <c r="M92" s="98"/>
      <c r="N92" s="98"/>
      <c r="O92" s="98" t="str">
        <f t="shared" si="11"/>
        <v/>
      </c>
      <c r="P92" s="98" t="str">
        <f t="shared" si="12"/>
        <v/>
      </c>
      <c r="Q92" s="98" t="str">
        <f t="shared" si="13"/>
        <v/>
      </c>
      <c r="R92" s="98" t="str">
        <f t="shared" si="14"/>
        <v/>
      </c>
      <c r="S92" s="47"/>
      <c r="T92" s="99">
        <f>IFERROR(S92/Dashboard!$AB$13,"")</f>
        <v>0</v>
      </c>
      <c r="U92" s="47"/>
    </row>
    <row r="93" spans="1:21" ht="15" customHeight="1" x14ac:dyDescent="0.25">
      <c r="A93" s="47"/>
      <c r="B93" s="47"/>
      <c r="C93" s="47"/>
      <c r="D93" s="47"/>
      <c r="E93" s="47"/>
      <c r="F93" s="47"/>
      <c r="G93" s="47"/>
      <c r="H93" s="70"/>
      <c r="I93" s="98"/>
      <c r="J93" s="98"/>
      <c r="K93" s="98" t="str">
        <f t="shared" si="10"/>
        <v/>
      </c>
      <c r="L93" s="70"/>
      <c r="M93" s="98"/>
      <c r="N93" s="98"/>
      <c r="O93" s="98" t="str">
        <f t="shared" si="11"/>
        <v/>
      </c>
      <c r="P93" s="98" t="str">
        <f t="shared" si="12"/>
        <v/>
      </c>
      <c r="Q93" s="98" t="str">
        <f t="shared" si="13"/>
        <v/>
      </c>
      <c r="R93" s="98" t="str">
        <f t="shared" si="14"/>
        <v/>
      </c>
      <c r="S93" s="47"/>
      <c r="T93" s="99">
        <f>IFERROR(S93/Dashboard!$AB$13,"")</f>
        <v>0</v>
      </c>
      <c r="U93" s="47"/>
    </row>
    <row r="94" spans="1:21" ht="15" customHeight="1" x14ac:dyDescent="0.25">
      <c r="A94" s="47"/>
      <c r="B94" s="47"/>
      <c r="C94" s="47"/>
      <c r="D94" s="47"/>
      <c r="E94" s="47"/>
      <c r="F94" s="47"/>
      <c r="G94" s="47"/>
      <c r="H94" s="70"/>
      <c r="I94" s="98"/>
      <c r="J94" s="98"/>
      <c r="K94" s="98" t="str">
        <f t="shared" si="10"/>
        <v/>
      </c>
      <c r="L94" s="70"/>
      <c r="M94" s="98"/>
      <c r="N94" s="98"/>
      <c r="O94" s="98" t="str">
        <f t="shared" si="11"/>
        <v/>
      </c>
      <c r="P94" s="98" t="str">
        <f t="shared" si="12"/>
        <v/>
      </c>
      <c r="Q94" s="98" t="str">
        <f t="shared" si="13"/>
        <v/>
      </c>
      <c r="R94" s="98" t="str">
        <f t="shared" si="14"/>
        <v/>
      </c>
      <c r="S94" s="47"/>
      <c r="T94" s="99">
        <f>IFERROR(S94/Dashboard!$AB$13,"")</f>
        <v>0</v>
      </c>
      <c r="U94" s="47"/>
    </row>
    <row r="95" spans="1:21" ht="15" customHeight="1" x14ac:dyDescent="0.25">
      <c r="A95" s="47"/>
      <c r="B95" s="47"/>
      <c r="C95" s="47"/>
      <c r="D95" s="47"/>
      <c r="E95" s="47"/>
      <c r="F95" s="47"/>
      <c r="G95" s="47"/>
      <c r="H95" s="70"/>
      <c r="I95" s="98"/>
      <c r="J95" s="98"/>
      <c r="K95" s="98" t="str">
        <f t="shared" si="10"/>
        <v/>
      </c>
      <c r="L95" s="70"/>
      <c r="M95" s="98"/>
      <c r="N95" s="98"/>
      <c r="O95" s="98" t="str">
        <f t="shared" si="11"/>
        <v/>
      </c>
      <c r="P95" s="98" t="str">
        <f t="shared" si="12"/>
        <v/>
      </c>
      <c r="Q95" s="98" t="str">
        <f t="shared" si="13"/>
        <v/>
      </c>
      <c r="R95" s="98" t="str">
        <f t="shared" si="14"/>
        <v/>
      </c>
      <c r="S95" s="47"/>
      <c r="T95" s="99">
        <f>IFERROR(S95/Dashboard!$AB$13,"")</f>
        <v>0</v>
      </c>
      <c r="U95" s="47"/>
    </row>
    <row r="96" spans="1:21" ht="15" customHeight="1" x14ac:dyDescent="0.25">
      <c r="A96" s="47"/>
      <c r="B96" s="47"/>
      <c r="C96" s="47"/>
      <c r="D96" s="47"/>
      <c r="E96" s="47"/>
      <c r="F96" s="47"/>
      <c r="G96" s="47"/>
      <c r="H96" s="70"/>
      <c r="I96" s="98"/>
      <c r="J96" s="98"/>
      <c r="K96" s="98" t="str">
        <f t="shared" si="10"/>
        <v/>
      </c>
      <c r="L96" s="70"/>
      <c r="M96" s="98"/>
      <c r="N96" s="98"/>
      <c r="O96" s="98" t="str">
        <f t="shared" si="11"/>
        <v/>
      </c>
      <c r="P96" s="98" t="str">
        <f t="shared" si="12"/>
        <v/>
      </c>
      <c r="Q96" s="98" t="str">
        <f t="shared" si="13"/>
        <v/>
      </c>
      <c r="R96" s="98" t="str">
        <f t="shared" si="14"/>
        <v/>
      </c>
      <c r="S96" s="47"/>
      <c r="T96" s="99">
        <f>IFERROR(S96/Dashboard!$AB$13,"")</f>
        <v>0</v>
      </c>
      <c r="U96" s="47"/>
    </row>
    <row r="97" spans="1:21" ht="15" customHeight="1" x14ac:dyDescent="0.25">
      <c r="A97" s="47"/>
      <c r="B97" s="47"/>
      <c r="C97" s="47"/>
      <c r="D97" s="47"/>
      <c r="E97" s="47"/>
      <c r="F97" s="47"/>
      <c r="G97" s="47"/>
      <c r="H97" s="70"/>
      <c r="I97" s="98"/>
      <c r="J97" s="98"/>
      <c r="K97" s="98" t="str">
        <f t="shared" si="10"/>
        <v/>
      </c>
      <c r="L97" s="70"/>
      <c r="M97" s="98"/>
      <c r="N97" s="98"/>
      <c r="O97" s="98" t="str">
        <f t="shared" si="11"/>
        <v/>
      </c>
      <c r="P97" s="98" t="str">
        <f t="shared" si="12"/>
        <v/>
      </c>
      <c r="Q97" s="98" t="str">
        <f t="shared" si="13"/>
        <v/>
      </c>
      <c r="R97" s="98" t="str">
        <f t="shared" si="14"/>
        <v/>
      </c>
      <c r="S97" s="47"/>
      <c r="T97" s="99">
        <f>IFERROR(S97/Dashboard!$AB$13,"")</f>
        <v>0</v>
      </c>
      <c r="U97" s="47"/>
    </row>
    <row r="98" spans="1:21" ht="15" customHeight="1" x14ac:dyDescent="0.25">
      <c r="A98" s="47"/>
      <c r="B98" s="47"/>
      <c r="C98" s="47"/>
      <c r="D98" s="47"/>
      <c r="E98" s="47"/>
      <c r="F98" s="47"/>
      <c r="G98" s="47"/>
      <c r="H98" s="70"/>
      <c r="I98" s="98"/>
      <c r="J98" s="98"/>
      <c r="K98" s="98" t="str">
        <f t="shared" si="10"/>
        <v/>
      </c>
      <c r="L98" s="70"/>
      <c r="M98" s="98"/>
      <c r="N98" s="98"/>
      <c r="O98" s="98" t="str">
        <f t="shared" si="11"/>
        <v/>
      </c>
      <c r="P98" s="98" t="str">
        <f t="shared" si="12"/>
        <v/>
      </c>
      <c r="Q98" s="98" t="str">
        <f t="shared" si="13"/>
        <v/>
      </c>
      <c r="R98" s="98" t="str">
        <f t="shared" si="14"/>
        <v/>
      </c>
      <c r="S98" s="47"/>
      <c r="T98" s="99">
        <f>IFERROR(S98/Dashboard!$AB$13,"")</f>
        <v>0</v>
      </c>
      <c r="U98" s="47"/>
    </row>
    <row r="99" spans="1:21" ht="15" customHeight="1" x14ac:dyDescent="0.25">
      <c r="A99" s="47"/>
      <c r="B99" s="47"/>
      <c r="C99" s="47"/>
      <c r="D99" s="47"/>
      <c r="E99" s="47"/>
      <c r="F99" s="47"/>
      <c r="G99" s="47"/>
      <c r="H99" s="70"/>
      <c r="I99" s="98"/>
      <c r="J99" s="98"/>
      <c r="K99" s="98" t="str">
        <f t="shared" si="10"/>
        <v/>
      </c>
      <c r="L99" s="70"/>
      <c r="M99" s="98"/>
      <c r="N99" s="98"/>
      <c r="O99" s="98" t="str">
        <f t="shared" si="11"/>
        <v/>
      </c>
      <c r="P99" s="98" t="str">
        <f t="shared" si="12"/>
        <v/>
      </c>
      <c r="Q99" s="98" t="str">
        <f t="shared" si="13"/>
        <v/>
      </c>
      <c r="R99" s="98" t="str">
        <f t="shared" si="14"/>
        <v/>
      </c>
      <c r="S99" s="47"/>
      <c r="T99" s="99">
        <f>IFERROR(S99/Dashboard!$AB$13,"")</f>
        <v>0</v>
      </c>
      <c r="U99" s="47"/>
    </row>
    <row r="100" spans="1:21" ht="15" customHeight="1" x14ac:dyDescent="0.25">
      <c r="A100" s="47"/>
      <c r="B100" s="47"/>
      <c r="C100" s="47"/>
      <c r="D100" s="47"/>
      <c r="E100" s="47"/>
      <c r="F100" s="47"/>
      <c r="G100" s="47"/>
      <c r="H100" s="70"/>
      <c r="I100" s="98"/>
      <c r="J100" s="98"/>
      <c r="K100" s="98" t="str">
        <f t="shared" si="10"/>
        <v/>
      </c>
      <c r="L100" s="70"/>
      <c r="M100" s="98"/>
      <c r="N100" s="98"/>
      <c r="O100" s="98" t="str">
        <f t="shared" si="11"/>
        <v/>
      </c>
      <c r="P100" s="98" t="str">
        <f t="shared" si="12"/>
        <v/>
      </c>
      <c r="Q100" s="98" t="str">
        <f t="shared" si="13"/>
        <v/>
      </c>
      <c r="R100" s="98" t="str">
        <f t="shared" si="14"/>
        <v/>
      </c>
      <c r="S100" s="47"/>
      <c r="T100" s="99">
        <f>IFERROR(S100/Dashboard!$AB$13,"")</f>
        <v>0</v>
      </c>
      <c r="U100" s="47"/>
    </row>
    <row r="101" spans="1:21" ht="15" customHeight="1" x14ac:dyDescent="0.25">
      <c r="A101" s="47"/>
      <c r="B101" s="47"/>
      <c r="C101" s="47"/>
      <c r="D101" s="47"/>
      <c r="E101" s="47"/>
      <c r="F101" s="47"/>
      <c r="G101" s="47"/>
      <c r="H101" s="70"/>
      <c r="I101" s="98"/>
      <c r="J101" s="98"/>
      <c r="K101" s="98" t="str">
        <f t="shared" ref="K101:K132" si="15">IFERROR(J101/((I101/100)^2),"")</f>
        <v/>
      </c>
      <c r="L101" s="70"/>
      <c r="M101" s="98"/>
      <c r="N101" s="98"/>
      <c r="O101" s="98" t="str">
        <f t="shared" ref="O101:O132" si="16">IFERROR(N101/((M101/100)^2),"")</f>
        <v/>
      </c>
      <c r="P101" s="98" t="str">
        <f t="shared" si="12"/>
        <v/>
      </c>
      <c r="Q101" s="98" t="str">
        <f t="shared" si="13"/>
        <v/>
      </c>
      <c r="R101" s="98" t="str">
        <f t="shared" si="14"/>
        <v/>
      </c>
      <c r="S101" s="47"/>
      <c r="T101" s="99">
        <f>IFERROR(S101/Dashboard!$AB$13,"")</f>
        <v>0</v>
      </c>
      <c r="U101" s="47"/>
    </row>
    <row r="102" spans="1:21" ht="15" customHeight="1" x14ac:dyDescent="0.25">
      <c r="A102" s="47"/>
      <c r="B102" s="47"/>
      <c r="C102" s="47"/>
      <c r="D102" s="47"/>
      <c r="E102" s="47"/>
      <c r="F102" s="47"/>
      <c r="G102" s="47"/>
      <c r="H102" s="70"/>
      <c r="I102" s="98"/>
      <c r="J102" s="98"/>
      <c r="K102" s="98" t="str">
        <f t="shared" si="15"/>
        <v/>
      </c>
      <c r="L102" s="70"/>
      <c r="M102" s="98"/>
      <c r="N102" s="98"/>
      <c r="O102" s="98" t="str">
        <f t="shared" si="16"/>
        <v/>
      </c>
      <c r="P102" s="98" t="str">
        <f t="shared" si="12"/>
        <v/>
      </c>
      <c r="Q102" s="98" t="str">
        <f t="shared" si="13"/>
        <v/>
      </c>
      <c r="R102" s="98" t="str">
        <f t="shared" si="14"/>
        <v/>
      </c>
      <c r="S102" s="47"/>
      <c r="T102" s="99">
        <f>IFERROR(S102/Dashboard!$AB$13,"")</f>
        <v>0</v>
      </c>
      <c r="U102" s="47"/>
    </row>
    <row r="103" spans="1:21" ht="15" customHeight="1" x14ac:dyDescent="0.25">
      <c r="A103" s="47"/>
      <c r="B103" s="47"/>
      <c r="C103" s="47"/>
      <c r="D103" s="47"/>
      <c r="E103" s="47"/>
      <c r="F103" s="47"/>
      <c r="G103" s="47"/>
      <c r="H103" s="70"/>
      <c r="I103" s="98"/>
      <c r="J103" s="98"/>
      <c r="K103" s="98" t="str">
        <f t="shared" si="15"/>
        <v/>
      </c>
      <c r="L103" s="70"/>
      <c r="M103" s="98"/>
      <c r="N103" s="98"/>
      <c r="O103" s="98" t="str">
        <f t="shared" si="16"/>
        <v/>
      </c>
      <c r="P103" s="98" t="str">
        <f t="shared" si="12"/>
        <v/>
      </c>
      <c r="Q103" s="98" t="str">
        <f t="shared" si="13"/>
        <v/>
      </c>
      <c r="R103" s="98" t="str">
        <f t="shared" si="14"/>
        <v/>
      </c>
      <c r="S103" s="47"/>
      <c r="T103" s="99">
        <f>IFERROR(S103/Dashboard!$AB$13,"")</f>
        <v>0</v>
      </c>
      <c r="U103" s="47"/>
    </row>
    <row r="104" spans="1:21" ht="15" customHeight="1" x14ac:dyDescent="0.25">
      <c r="A104" s="47"/>
      <c r="B104" s="47"/>
      <c r="C104" s="47"/>
      <c r="D104" s="47"/>
      <c r="E104" s="47"/>
      <c r="F104" s="47"/>
      <c r="G104" s="47"/>
      <c r="H104" s="70"/>
      <c r="I104" s="98"/>
      <c r="J104" s="98"/>
      <c r="K104" s="98" t="str">
        <f t="shared" si="15"/>
        <v/>
      </c>
      <c r="L104" s="70"/>
      <c r="M104" s="98"/>
      <c r="N104" s="98"/>
      <c r="O104" s="98" t="str">
        <f t="shared" si="16"/>
        <v/>
      </c>
      <c r="P104" s="98" t="str">
        <f t="shared" si="12"/>
        <v/>
      </c>
      <c r="Q104" s="98" t="str">
        <f t="shared" si="13"/>
        <v/>
      </c>
      <c r="R104" s="98" t="str">
        <f t="shared" si="14"/>
        <v/>
      </c>
      <c r="S104" s="47"/>
      <c r="T104" s="99">
        <f>IFERROR(S104/Dashboard!$AB$13,"")</f>
        <v>0</v>
      </c>
      <c r="U104" s="47"/>
    </row>
    <row r="107" spans="1:21" ht="15" customHeight="1" x14ac:dyDescent="0.25">
      <c r="A107" s="2" t="s">
        <v>1003</v>
      </c>
      <c r="B107" s="87" t="s">
        <v>1004</v>
      </c>
    </row>
    <row r="108" spans="1:21" ht="124.5" customHeight="1" x14ac:dyDescent="0.25">
      <c r="A108" s="100" t="s">
        <v>1005</v>
      </c>
      <c r="B108" s="101" t="s">
        <v>1006</v>
      </c>
    </row>
  </sheetData>
  <mergeCells count="1">
    <mergeCell ref="A1:U2"/>
  </mergeCells>
  <conditionalFormatting sqref="P5:P104">
    <cfRule type="cellIs" dxfId="12" priority="2" operator="greaterThan">
      <formula>0</formula>
    </cfRule>
    <cfRule type="cellIs" dxfId="11" priority="3" operator="lessThan">
      <formula>0</formula>
    </cfRule>
  </conditionalFormatting>
  <conditionalFormatting sqref="T5:T104">
    <cfRule type="cellIs" dxfId="10" priority="4" operator="lessThan">
      <formula>0.8</formula>
    </cfRule>
  </conditionalFormatting>
  <pageMargins left="0.25" right="0.25" top="0.4" bottom="0.4" header="0.511811023622047" footer="0.511811023622047"/>
  <pageSetup paperSize="9" orientation="landscape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0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3" width="14" customWidth="1"/>
    <col min="4" max="4" width="18" customWidth="1"/>
    <col min="5" max="5" width="22" customWidth="1"/>
    <col min="6" max="6" width="12" customWidth="1"/>
    <col min="7" max="7" width="14" customWidth="1"/>
    <col min="8" max="8" width="22" customWidth="1"/>
    <col min="9" max="9" width="10" customWidth="1"/>
    <col min="10" max="10" width="22" customWidth="1"/>
    <col min="11" max="11" width="20" customWidth="1"/>
    <col min="12" max="12" width="14" customWidth="1"/>
    <col min="13" max="13" width="22" customWidth="1"/>
    <col min="14" max="14" width="14" customWidth="1"/>
  </cols>
  <sheetData>
    <row r="1" spans="1:14" ht="15" customHeight="1" x14ac:dyDescent="0.25">
      <c r="A1" s="132" t="s">
        <v>1007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15" customHeight="1" x14ac:dyDescent="0.25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4" spans="1:14" ht="23.25" customHeight="1" x14ac:dyDescent="0.25">
      <c r="A4" s="102" t="s">
        <v>1008</v>
      </c>
      <c r="B4" s="102" t="s">
        <v>73</v>
      </c>
      <c r="C4" s="102" t="s">
        <v>973</v>
      </c>
      <c r="D4" s="102" t="s">
        <v>120</v>
      </c>
      <c r="E4" s="102" t="s">
        <v>527</v>
      </c>
      <c r="F4" s="102" t="s">
        <v>99</v>
      </c>
      <c r="G4" s="102" t="s">
        <v>100</v>
      </c>
      <c r="H4" s="102" t="s">
        <v>1009</v>
      </c>
      <c r="I4" s="102" t="s">
        <v>1010</v>
      </c>
      <c r="J4" s="102" t="s">
        <v>1011</v>
      </c>
      <c r="K4" s="102" t="s">
        <v>1012</v>
      </c>
      <c r="L4" s="102" t="s">
        <v>1013</v>
      </c>
      <c r="M4" s="102" t="s">
        <v>59</v>
      </c>
      <c r="N4" s="102" t="s">
        <v>1014</v>
      </c>
    </row>
    <row r="5" spans="1:14" ht="23.25" customHeight="1" x14ac:dyDescent="0.25">
      <c r="A5" s="47">
        <v>1</v>
      </c>
      <c r="B5" s="70">
        <v>46204</v>
      </c>
      <c r="C5" s="47">
        <v>1</v>
      </c>
      <c r="D5" s="47" t="s">
        <v>987</v>
      </c>
      <c r="E5" s="47" t="s">
        <v>988</v>
      </c>
      <c r="F5" s="47" t="s">
        <v>12</v>
      </c>
      <c r="G5" s="47" t="s">
        <v>106</v>
      </c>
      <c r="H5" s="47" t="s">
        <v>1015</v>
      </c>
      <c r="I5" s="47" t="s">
        <v>630</v>
      </c>
      <c r="J5" s="47"/>
      <c r="K5" s="47" t="s">
        <v>1016</v>
      </c>
      <c r="L5" s="47" t="s">
        <v>1017</v>
      </c>
      <c r="M5" s="47"/>
      <c r="N5" s="47" t="str">
        <f t="shared" ref="N5:N36" si="0">TEXT(B5,"mmm yyyy")</f>
        <v>Jul 2026</v>
      </c>
    </row>
    <row r="6" spans="1:14" ht="23.25" customHeight="1" x14ac:dyDescent="0.25">
      <c r="A6" s="47">
        <v>2</v>
      </c>
      <c r="B6" s="70">
        <v>46204</v>
      </c>
      <c r="C6" s="47">
        <v>2</v>
      </c>
      <c r="D6" s="47" t="s">
        <v>990</v>
      </c>
      <c r="E6" s="47" t="s">
        <v>991</v>
      </c>
      <c r="F6" s="47" t="s">
        <v>23</v>
      </c>
      <c r="G6" s="47" t="s">
        <v>108</v>
      </c>
      <c r="H6" s="47" t="s">
        <v>1015</v>
      </c>
      <c r="I6" s="47" t="s">
        <v>630</v>
      </c>
      <c r="J6" s="47"/>
      <c r="K6" s="47" t="s">
        <v>1016</v>
      </c>
      <c r="L6" s="47" t="s">
        <v>1017</v>
      </c>
      <c r="M6" s="47"/>
      <c r="N6" s="47" t="str">
        <f t="shared" si="0"/>
        <v>Jul 2026</v>
      </c>
    </row>
    <row r="7" spans="1:14" ht="23.25" customHeight="1" x14ac:dyDescent="0.25">
      <c r="A7" s="47">
        <v>3</v>
      </c>
      <c r="B7" s="70">
        <v>46204</v>
      </c>
      <c r="C7" s="47">
        <v>3</v>
      </c>
      <c r="D7" s="47" t="s">
        <v>259</v>
      </c>
      <c r="E7" s="47" t="s">
        <v>993</v>
      </c>
      <c r="F7" s="47" t="s">
        <v>26</v>
      </c>
      <c r="G7" s="47" t="s">
        <v>110</v>
      </c>
      <c r="H7" s="47" t="s">
        <v>1015</v>
      </c>
      <c r="I7" s="47" t="s">
        <v>630</v>
      </c>
      <c r="J7" s="47"/>
      <c r="K7" s="47" t="s">
        <v>1016</v>
      </c>
      <c r="L7" s="47" t="s">
        <v>1017</v>
      </c>
      <c r="M7" s="47"/>
      <c r="N7" s="47" t="str">
        <f t="shared" si="0"/>
        <v>Jul 2026</v>
      </c>
    </row>
    <row r="8" spans="1:14" ht="23.25" customHeight="1" x14ac:dyDescent="0.25">
      <c r="A8" s="47">
        <v>4</v>
      </c>
      <c r="B8" s="70">
        <v>46204</v>
      </c>
      <c r="C8" s="47">
        <v>4</v>
      </c>
      <c r="D8" s="47" t="s">
        <v>995</v>
      </c>
      <c r="E8" s="47" t="s">
        <v>996</v>
      </c>
      <c r="F8" s="47" t="s">
        <v>39</v>
      </c>
      <c r="G8" s="47" t="s">
        <v>112</v>
      </c>
      <c r="H8" s="47" t="s">
        <v>1015</v>
      </c>
      <c r="I8" s="47" t="s">
        <v>630</v>
      </c>
      <c r="J8" s="47"/>
      <c r="K8" s="47" t="s">
        <v>1016</v>
      </c>
      <c r="L8" s="47" t="s">
        <v>1017</v>
      </c>
      <c r="M8" s="47"/>
      <c r="N8" s="47" t="str">
        <f t="shared" si="0"/>
        <v>Jul 2026</v>
      </c>
    </row>
    <row r="9" spans="1:14" ht="23.25" customHeight="1" x14ac:dyDescent="0.25">
      <c r="A9" s="47">
        <v>5</v>
      </c>
      <c r="B9" s="70">
        <v>46204</v>
      </c>
      <c r="C9" s="47">
        <v>5</v>
      </c>
      <c r="D9" s="47" t="s">
        <v>998</v>
      </c>
      <c r="E9" s="47" t="s">
        <v>999</v>
      </c>
      <c r="F9" s="47" t="s">
        <v>42</v>
      </c>
      <c r="G9" s="47" t="s">
        <v>114</v>
      </c>
      <c r="H9" s="47" t="s">
        <v>1015</v>
      </c>
      <c r="I9" s="47" t="s">
        <v>630</v>
      </c>
      <c r="J9" s="47"/>
      <c r="K9" s="47" t="s">
        <v>1016</v>
      </c>
      <c r="L9" s="47" t="s">
        <v>1017</v>
      </c>
      <c r="M9" s="47"/>
      <c r="N9" s="47" t="str">
        <f t="shared" si="0"/>
        <v>Jul 2026</v>
      </c>
    </row>
    <row r="10" spans="1:14" ht="23.25" customHeight="1" x14ac:dyDescent="0.25">
      <c r="A10" s="47">
        <v>6</v>
      </c>
      <c r="B10" s="70">
        <v>46204</v>
      </c>
      <c r="C10" s="47">
        <v>6</v>
      </c>
      <c r="D10" s="47" t="s">
        <v>1000</v>
      </c>
      <c r="E10" s="47" t="s">
        <v>1001</v>
      </c>
      <c r="F10" s="47" t="s">
        <v>44</v>
      </c>
      <c r="G10" s="47" t="s">
        <v>116</v>
      </c>
      <c r="H10" s="47" t="s">
        <v>1015</v>
      </c>
      <c r="I10" s="47" t="s">
        <v>630</v>
      </c>
      <c r="J10" s="47"/>
      <c r="K10" s="47" t="s">
        <v>1016</v>
      </c>
      <c r="L10" s="47" t="s">
        <v>1017</v>
      </c>
      <c r="M10" s="47"/>
      <c r="N10" s="47" t="str">
        <f t="shared" si="0"/>
        <v>Jul 2026</v>
      </c>
    </row>
    <row r="11" spans="1:14" ht="23.25" customHeight="1" x14ac:dyDescent="0.25">
      <c r="A11" s="47">
        <v>7</v>
      </c>
      <c r="B11" s="70">
        <v>46205</v>
      </c>
      <c r="C11" s="47">
        <v>1</v>
      </c>
      <c r="D11" s="47" t="s">
        <v>987</v>
      </c>
      <c r="E11" s="47" t="s">
        <v>988</v>
      </c>
      <c r="F11" s="47" t="s">
        <v>12</v>
      </c>
      <c r="G11" s="47" t="s">
        <v>106</v>
      </c>
      <c r="H11" s="47" t="s">
        <v>1015</v>
      </c>
      <c r="I11" s="47" t="s">
        <v>630</v>
      </c>
      <c r="J11" s="47"/>
      <c r="K11" s="47" t="s">
        <v>1016</v>
      </c>
      <c r="L11" s="47" t="s">
        <v>1017</v>
      </c>
      <c r="M11" s="47"/>
      <c r="N11" s="47" t="str">
        <f t="shared" si="0"/>
        <v>Jul 2026</v>
      </c>
    </row>
    <row r="12" spans="1:14" ht="23.25" customHeight="1" x14ac:dyDescent="0.25">
      <c r="A12" s="47">
        <v>8</v>
      </c>
      <c r="B12" s="70">
        <v>46205</v>
      </c>
      <c r="C12" s="47">
        <v>2</v>
      </c>
      <c r="D12" s="47" t="s">
        <v>990</v>
      </c>
      <c r="E12" s="47" t="s">
        <v>991</v>
      </c>
      <c r="F12" s="47" t="s">
        <v>23</v>
      </c>
      <c r="G12" s="47" t="s">
        <v>108</v>
      </c>
      <c r="H12" s="47" t="s">
        <v>1015</v>
      </c>
      <c r="I12" s="47" t="s">
        <v>630</v>
      </c>
      <c r="J12" s="47"/>
      <c r="K12" s="47" t="s">
        <v>1016</v>
      </c>
      <c r="L12" s="47" t="s">
        <v>1017</v>
      </c>
      <c r="M12" s="47"/>
      <c r="N12" s="47" t="str">
        <f t="shared" si="0"/>
        <v>Jul 2026</v>
      </c>
    </row>
    <row r="13" spans="1:14" ht="23.25" customHeight="1" x14ac:dyDescent="0.25">
      <c r="A13" s="47">
        <v>9</v>
      </c>
      <c r="B13" s="70">
        <v>46205</v>
      </c>
      <c r="C13" s="47">
        <v>3</v>
      </c>
      <c r="D13" s="47" t="s">
        <v>259</v>
      </c>
      <c r="E13" s="47" t="s">
        <v>993</v>
      </c>
      <c r="F13" s="47" t="s">
        <v>26</v>
      </c>
      <c r="G13" s="47" t="s">
        <v>110</v>
      </c>
      <c r="H13" s="47" t="s">
        <v>1015</v>
      </c>
      <c r="I13" s="47" t="s">
        <v>630</v>
      </c>
      <c r="J13" s="47"/>
      <c r="K13" s="47" t="s">
        <v>1016</v>
      </c>
      <c r="L13" s="47" t="s">
        <v>1017</v>
      </c>
      <c r="M13" s="47"/>
      <c r="N13" s="47" t="str">
        <f t="shared" si="0"/>
        <v>Jul 2026</v>
      </c>
    </row>
    <row r="14" spans="1:14" ht="23.25" customHeight="1" x14ac:dyDescent="0.25">
      <c r="A14" s="47">
        <v>10</v>
      </c>
      <c r="B14" s="70">
        <v>46205</v>
      </c>
      <c r="C14" s="47">
        <v>4</v>
      </c>
      <c r="D14" s="47" t="s">
        <v>995</v>
      </c>
      <c r="E14" s="47" t="s">
        <v>996</v>
      </c>
      <c r="F14" s="47" t="s">
        <v>39</v>
      </c>
      <c r="G14" s="47" t="s">
        <v>112</v>
      </c>
      <c r="H14" s="47" t="s">
        <v>1015</v>
      </c>
      <c r="I14" s="47" t="s">
        <v>630</v>
      </c>
      <c r="J14" s="47"/>
      <c r="K14" s="47" t="s">
        <v>1016</v>
      </c>
      <c r="L14" s="47" t="s">
        <v>1017</v>
      </c>
      <c r="M14" s="47"/>
      <c r="N14" s="47" t="str">
        <f t="shared" si="0"/>
        <v>Jul 2026</v>
      </c>
    </row>
    <row r="15" spans="1:14" ht="23.25" customHeight="1" x14ac:dyDescent="0.25">
      <c r="A15" s="47">
        <v>11</v>
      </c>
      <c r="B15" s="70">
        <v>46205</v>
      </c>
      <c r="C15" s="47">
        <v>5</v>
      </c>
      <c r="D15" s="47" t="s">
        <v>998</v>
      </c>
      <c r="E15" s="47" t="s">
        <v>999</v>
      </c>
      <c r="F15" s="47" t="s">
        <v>42</v>
      </c>
      <c r="G15" s="47" t="s">
        <v>114</v>
      </c>
      <c r="H15" s="47" t="s">
        <v>1015</v>
      </c>
      <c r="I15" s="47" t="s">
        <v>630</v>
      </c>
      <c r="J15" s="47"/>
      <c r="K15" s="47" t="s">
        <v>1016</v>
      </c>
      <c r="L15" s="47" t="s">
        <v>1017</v>
      </c>
      <c r="M15" s="47"/>
      <c r="N15" s="47" t="str">
        <f t="shared" si="0"/>
        <v>Jul 2026</v>
      </c>
    </row>
    <row r="16" spans="1:14" ht="23.25" customHeight="1" x14ac:dyDescent="0.25">
      <c r="A16" s="47">
        <v>12</v>
      </c>
      <c r="B16" s="70">
        <v>46205</v>
      </c>
      <c r="C16" s="47">
        <v>6</v>
      </c>
      <c r="D16" s="47" t="s">
        <v>1000</v>
      </c>
      <c r="E16" s="47" t="s">
        <v>1001</v>
      </c>
      <c r="F16" s="47" t="s">
        <v>44</v>
      </c>
      <c r="G16" s="47" t="s">
        <v>116</v>
      </c>
      <c r="H16" s="47" t="s">
        <v>1015</v>
      </c>
      <c r="I16" s="47" t="s">
        <v>630</v>
      </c>
      <c r="J16" s="47"/>
      <c r="K16" s="47" t="s">
        <v>1016</v>
      </c>
      <c r="L16" s="47" t="s">
        <v>1017</v>
      </c>
      <c r="M16" s="47"/>
      <c r="N16" s="47" t="str">
        <f t="shared" si="0"/>
        <v>Jul 2026</v>
      </c>
    </row>
    <row r="17" spans="1:14" ht="23.25" customHeight="1" x14ac:dyDescent="0.25">
      <c r="A17" s="47">
        <v>13</v>
      </c>
      <c r="B17" s="70">
        <v>46206</v>
      </c>
      <c r="C17" s="47">
        <v>1</v>
      </c>
      <c r="D17" s="47" t="s">
        <v>987</v>
      </c>
      <c r="E17" s="47" t="s">
        <v>988</v>
      </c>
      <c r="F17" s="47" t="s">
        <v>12</v>
      </c>
      <c r="G17" s="47" t="s">
        <v>106</v>
      </c>
      <c r="H17" s="47" t="s">
        <v>1015</v>
      </c>
      <c r="I17" s="47" t="s">
        <v>630</v>
      </c>
      <c r="J17" s="47"/>
      <c r="K17" s="47" t="s">
        <v>1016</v>
      </c>
      <c r="L17" s="47" t="s">
        <v>1017</v>
      </c>
      <c r="M17" s="47"/>
      <c r="N17" s="47" t="str">
        <f t="shared" si="0"/>
        <v>Jul 2026</v>
      </c>
    </row>
    <row r="18" spans="1:14" ht="23.25" customHeight="1" x14ac:dyDescent="0.25">
      <c r="A18" s="47">
        <v>14</v>
      </c>
      <c r="B18" s="70">
        <v>46206</v>
      </c>
      <c r="C18" s="47">
        <v>2</v>
      </c>
      <c r="D18" s="47" t="s">
        <v>990</v>
      </c>
      <c r="E18" s="47" t="s">
        <v>991</v>
      </c>
      <c r="F18" s="47" t="s">
        <v>23</v>
      </c>
      <c r="G18" s="47" t="s">
        <v>108</v>
      </c>
      <c r="H18" s="47" t="s">
        <v>1015</v>
      </c>
      <c r="I18" s="47" t="s">
        <v>630</v>
      </c>
      <c r="J18" s="47"/>
      <c r="K18" s="47" t="s">
        <v>1016</v>
      </c>
      <c r="L18" s="47" t="s">
        <v>1017</v>
      </c>
      <c r="M18" s="47"/>
      <c r="N18" s="47" t="str">
        <f t="shared" si="0"/>
        <v>Jul 2026</v>
      </c>
    </row>
    <row r="19" spans="1:14" ht="23.25" customHeight="1" x14ac:dyDescent="0.25">
      <c r="A19" s="47">
        <v>15</v>
      </c>
      <c r="B19" s="70">
        <v>46206</v>
      </c>
      <c r="C19" s="47">
        <v>3</v>
      </c>
      <c r="D19" s="47" t="s">
        <v>259</v>
      </c>
      <c r="E19" s="47" t="s">
        <v>993</v>
      </c>
      <c r="F19" s="47" t="s">
        <v>26</v>
      </c>
      <c r="G19" s="47" t="s">
        <v>110</v>
      </c>
      <c r="H19" s="47" t="s">
        <v>1015</v>
      </c>
      <c r="I19" s="47" t="s">
        <v>630</v>
      </c>
      <c r="J19" s="47"/>
      <c r="K19" s="47" t="s">
        <v>1016</v>
      </c>
      <c r="L19" s="47" t="s">
        <v>1017</v>
      </c>
      <c r="M19" s="47"/>
      <c r="N19" s="47" t="str">
        <f t="shared" si="0"/>
        <v>Jul 2026</v>
      </c>
    </row>
    <row r="20" spans="1:14" ht="23.25" customHeight="1" x14ac:dyDescent="0.25">
      <c r="A20" s="47">
        <v>16</v>
      </c>
      <c r="B20" s="70">
        <v>46206</v>
      </c>
      <c r="C20" s="47">
        <v>4</v>
      </c>
      <c r="D20" s="47" t="s">
        <v>995</v>
      </c>
      <c r="E20" s="47" t="s">
        <v>996</v>
      </c>
      <c r="F20" s="47" t="s">
        <v>39</v>
      </c>
      <c r="G20" s="47" t="s">
        <v>112</v>
      </c>
      <c r="H20" s="47" t="s">
        <v>1015</v>
      </c>
      <c r="I20" s="47" t="s">
        <v>630</v>
      </c>
      <c r="J20" s="47"/>
      <c r="K20" s="47" t="s">
        <v>1016</v>
      </c>
      <c r="L20" s="47" t="s">
        <v>1017</v>
      </c>
      <c r="M20" s="47"/>
      <c r="N20" s="47" t="str">
        <f t="shared" si="0"/>
        <v>Jul 2026</v>
      </c>
    </row>
    <row r="21" spans="1:14" ht="23.25" customHeight="1" x14ac:dyDescent="0.25">
      <c r="A21" s="47">
        <v>17</v>
      </c>
      <c r="B21" s="70">
        <v>46206</v>
      </c>
      <c r="C21" s="47">
        <v>5</v>
      </c>
      <c r="D21" s="47" t="s">
        <v>998</v>
      </c>
      <c r="E21" s="47" t="s">
        <v>999</v>
      </c>
      <c r="F21" s="47" t="s">
        <v>42</v>
      </c>
      <c r="G21" s="47" t="s">
        <v>114</v>
      </c>
      <c r="H21" s="47" t="s">
        <v>1015</v>
      </c>
      <c r="I21" s="47" t="s">
        <v>630</v>
      </c>
      <c r="J21" s="47"/>
      <c r="K21" s="47" t="s">
        <v>1016</v>
      </c>
      <c r="L21" s="47" t="s">
        <v>1017</v>
      </c>
      <c r="M21" s="47"/>
      <c r="N21" s="47" t="str">
        <f t="shared" si="0"/>
        <v>Jul 2026</v>
      </c>
    </row>
    <row r="22" spans="1:14" ht="23.25" customHeight="1" x14ac:dyDescent="0.25">
      <c r="A22" s="47">
        <v>18</v>
      </c>
      <c r="B22" s="70">
        <v>46206</v>
      </c>
      <c r="C22" s="47">
        <v>6</v>
      </c>
      <c r="D22" s="47" t="s">
        <v>1000</v>
      </c>
      <c r="E22" s="47" t="s">
        <v>1001</v>
      </c>
      <c r="F22" s="47" t="s">
        <v>44</v>
      </c>
      <c r="G22" s="47" t="s">
        <v>116</v>
      </c>
      <c r="H22" s="47" t="s">
        <v>1015</v>
      </c>
      <c r="I22" s="47" t="s">
        <v>630</v>
      </c>
      <c r="J22" s="47"/>
      <c r="K22" s="47" t="s">
        <v>1016</v>
      </c>
      <c r="L22" s="47" t="s">
        <v>1017</v>
      </c>
      <c r="M22" s="47"/>
      <c r="N22" s="47" t="str">
        <f t="shared" si="0"/>
        <v>Jul 2026</v>
      </c>
    </row>
    <row r="23" spans="1:14" ht="23.25" customHeight="1" x14ac:dyDescent="0.25">
      <c r="A23" s="47">
        <v>19</v>
      </c>
      <c r="B23" s="70">
        <v>46209</v>
      </c>
      <c r="C23" s="47">
        <v>1</v>
      </c>
      <c r="D23" s="47" t="s">
        <v>987</v>
      </c>
      <c r="E23" s="47" t="s">
        <v>988</v>
      </c>
      <c r="F23" s="47" t="s">
        <v>12</v>
      </c>
      <c r="G23" s="47" t="s">
        <v>106</v>
      </c>
      <c r="H23" s="47" t="s">
        <v>1015</v>
      </c>
      <c r="I23" s="47" t="s">
        <v>630</v>
      </c>
      <c r="J23" s="47"/>
      <c r="K23" s="47" t="s">
        <v>1016</v>
      </c>
      <c r="L23" s="47" t="s">
        <v>1017</v>
      </c>
      <c r="M23" s="47"/>
      <c r="N23" s="47" t="str">
        <f t="shared" si="0"/>
        <v>Jul 2026</v>
      </c>
    </row>
    <row r="24" spans="1:14" ht="23.25" customHeight="1" x14ac:dyDescent="0.25">
      <c r="A24" s="47">
        <v>20</v>
      </c>
      <c r="B24" s="70">
        <v>46209</v>
      </c>
      <c r="C24" s="47">
        <v>2</v>
      </c>
      <c r="D24" s="47" t="s">
        <v>990</v>
      </c>
      <c r="E24" s="47" t="s">
        <v>991</v>
      </c>
      <c r="F24" s="47" t="s">
        <v>23</v>
      </c>
      <c r="G24" s="47" t="s">
        <v>108</v>
      </c>
      <c r="H24" s="47" t="s">
        <v>1015</v>
      </c>
      <c r="I24" s="47" t="s">
        <v>630</v>
      </c>
      <c r="J24" s="47"/>
      <c r="K24" s="47" t="s">
        <v>1016</v>
      </c>
      <c r="L24" s="47" t="s">
        <v>1017</v>
      </c>
      <c r="M24" s="47"/>
      <c r="N24" s="47" t="str">
        <f t="shared" si="0"/>
        <v>Jul 2026</v>
      </c>
    </row>
    <row r="25" spans="1:14" ht="23.25" customHeight="1" x14ac:dyDescent="0.25">
      <c r="A25" s="47">
        <v>21</v>
      </c>
      <c r="B25" s="70">
        <v>46209</v>
      </c>
      <c r="C25" s="47">
        <v>3</v>
      </c>
      <c r="D25" s="47" t="s">
        <v>259</v>
      </c>
      <c r="E25" s="47" t="s">
        <v>993</v>
      </c>
      <c r="F25" s="47" t="s">
        <v>26</v>
      </c>
      <c r="G25" s="47" t="s">
        <v>110</v>
      </c>
      <c r="H25" s="47" t="s">
        <v>1015</v>
      </c>
      <c r="I25" s="47" t="s">
        <v>630</v>
      </c>
      <c r="J25" s="47"/>
      <c r="K25" s="47" t="s">
        <v>1016</v>
      </c>
      <c r="L25" s="47" t="s">
        <v>1017</v>
      </c>
      <c r="M25" s="47"/>
      <c r="N25" s="47" t="str">
        <f t="shared" si="0"/>
        <v>Jul 2026</v>
      </c>
    </row>
    <row r="26" spans="1:14" ht="23.25" customHeight="1" x14ac:dyDescent="0.25">
      <c r="A26" s="47">
        <v>22</v>
      </c>
      <c r="B26" s="70">
        <v>46209</v>
      </c>
      <c r="C26" s="47">
        <v>4</v>
      </c>
      <c r="D26" s="47" t="s">
        <v>995</v>
      </c>
      <c r="E26" s="47" t="s">
        <v>996</v>
      </c>
      <c r="F26" s="47" t="s">
        <v>39</v>
      </c>
      <c r="G26" s="47" t="s">
        <v>112</v>
      </c>
      <c r="H26" s="47" t="s">
        <v>1015</v>
      </c>
      <c r="I26" s="47" t="s">
        <v>630</v>
      </c>
      <c r="J26" s="47"/>
      <c r="K26" s="47" t="s">
        <v>1016</v>
      </c>
      <c r="L26" s="47" t="s">
        <v>1017</v>
      </c>
      <c r="M26" s="47"/>
      <c r="N26" s="47" t="str">
        <f t="shared" si="0"/>
        <v>Jul 2026</v>
      </c>
    </row>
    <row r="27" spans="1:14" ht="23.25" customHeight="1" x14ac:dyDescent="0.25">
      <c r="A27" s="47">
        <v>23</v>
      </c>
      <c r="B27" s="70">
        <v>46209</v>
      </c>
      <c r="C27" s="47">
        <v>5</v>
      </c>
      <c r="D27" s="47" t="s">
        <v>998</v>
      </c>
      <c r="E27" s="47" t="s">
        <v>999</v>
      </c>
      <c r="F27" s="47" t="s">
        <v>42</v>
      </c>
      <c r="G27" s="47" t="s">
        <v>114</v>
      </c>
      <c r="H27" s="47" t="s">
        <v>1015</v>
      </c>
      <c r="I27" s="47" t="s">
        <v>630</v>
      </c>
      <c r="J27" s="47"/>
      <c r="K27" s="47" t="s">
        <v>1016</v>
      </c>
      <c r="L27" s="47" t="s">
        <v>1017</v>
      </c>
      <c r="M27" s="47"/>
      <c r="N27" s="47" t="str">
        <f t="shared" si="0"/>
        <v>Jul 2026</v>
      </c>
    </row>
    <row r="28" spans="1:14" ht="23.25" customHeight="1" x14ac:dyDescent="0.25">
      <c r="A28" s="47">
        <v>24</v>
      </c>
      <c r="B28" s="70">
        <v>46209</v>
      </c>
      <c r="C28" s="47">
        <v>6</v>
      </c>
      <c r="D28" s="47" t="s">
        <v>1000</v>
      </c>
      <c r="E28" s="47" t="s">
        <v>1001</v>
      </c>
      <c r="F28" s="47" t="s">
        <v>44</v>
      </c>
      <c r="G28" s="47" t="s">
        <v>116</v>
      </c>
      <c r="H28" s="47" t="s">
        <v>1015</v>
      </c>
      <c r="I28" s="47" t="s">
        <v>630</v>
      </c>
      <c r="J28" s="47"/>
      <c r="K28" s="47" t="s">
        <v>1016</v>
      </c>
      <c r="L28" s="47" t="s">
        <v>1017</v>
      </c>
      <c r="M28" s="47"/>
      <c r="N28" s="47" t="str">
        <f t="shared" si="0"/>
        <v>Jul 2026</v>
      </c>
    </row>
    <row r="29" spans="1:14" ht="23.25" customHeight="1" x14ac:dyDescent="0.25">
      <c r="A29" s="47">
        <v>25</v>
      </c>
      <c r="B29" s="70">
        <v>46210</v>
      </c>
      <c r="C29" s="47">
        <v>1</v>
      </c>
      <c r="D29" s="47" t="s">
        <v>987</v>
      </c>
      <c r="E29" s="47" t="s">
        <v>988</v>
      </c>
      <c r="F29" s="47" t="s">
        <v>12</v>
      </c>
      <c r="G29" s="47" t="s">
        <v>106</v>
      </c>
      <c r="H29" s="47" t="s">
        <v>1015</v>
      </c>
      <c r="I29" s="47" t="s">
        <v>630</v>
      </c>
      <c r="J29" s="47"/>
      <c r="K29" s="47" t="s">
        <v>1016</v>
      </c>
      <c r="L29" s="47" t="s">
        <v>1017</v>
      </c>
      <c r="M29" s="47"/>
      <c r="N29" s="47" t="str">
        <f t="shared" si="0"/>
        <v>Jul 2026</v>
      </c>
    </row>
    <row r="30" spans="1:14" ht="23.25" customHeight="1" x14ac:dyDescent="0.25">
      <c r="A30" s="47">
        <v>26</v>
      </c>
      <c r="B30" s="70">
        <v>46210</v>
      </c>
      <c r="C30" s="47">
        <v>2</v>
      </c>
      <c r="D30" s="47" t="s">
        <v>990</v>
      </c>
      <c r="E30" s="47" t="s">
        <v>991</v>
      </c>
      <c r="F30" s="47" t="s">
        <v>23</v>
      </c>
      <c r="G30" s="47" t="s">
        <v>108</v>
      </c>
      <c r="H30" s="47" t="s">
        <v>1015</v>
      </c>
      <c r="I30" s="47" t="s">
        <v>630</v>
      </c>
      <c r="J30" s="47"/>
      <c r="K30" s="47" t="s">
        <v>1016</v>
      </c>
      <c r="L30" s="47" t="s">
        <v>1017</v>
      </c>
      <c r="M30" s="47"/>
      <c r="N30" s="47" t="str">
        <f t="shared" si="0"/>
        <v>Jul 2026</v>
      </c>
    </row>
    <row r="31" spans="1:14" ht="23.25" customHeight="1" x14ac:dyDescent="0.25">
      <c r="A31" s="47">
        <v>27</v>
      </c>
      <c r="B31" s="70">
        <v>46210</v>
      </c>
      <c r="C31" s="47">
        <v>3</v>
      </c>
      <c r="D31" s="47" t="s">
        <v>259</v>
      </c>
      <c r="E31" s="47" t="s">
        <v>993</v>
      </c>
      <c r="F31" s="47" t="s">
        <v>26</v>
      </c>
      <c r="G31" s="47" t="s">
        <v>110</v>
      </c>
      <c r="H31" s="47" t="s">
        <v>1015</v>
      </c>
      <c r="I31" s="47" t="s">
        <v>630</v>
      </c>
      <c r="J31" s="47"/>
      <c r="K31" s="47" t="s">
        <v>1016</v>
      </c>
      <c r="L31" s="47" t="s">
        <v>1017</v>
      </c>
      <c r="M31" s="47"/>
      <c r="N31" s="47" t="str">
        <f t="shared" si="0"/>
        <v>Jul 2026</v>
      </c>
    </row>
    <row r="32" spans="1:14" ht="23.25" customHeight="1" x14ac:dyDescent="0.25">
      <c r="A32" s="47">
        <v>28</v>
      </c>
      <c r="B32" s="70">
        <v>46210</v>
      </c>
      <c r="C32" s="47">
        <v>4</v>
      </c>
      <c r="D32" s="47" t="s">
        <v>995</v>
      </c>
      <c r="E32" s="47" t="s">
        <v>996</v>
      </c>
      <c r="F32" s="47" t="s">
        <v>39</v>
      </c>
      <c r="G32" s="47" t="s">
        <v>112</v>
      </c>
      <c r="H32" s="47" t="s">
        <v>1015</v>
      </c>
      <c r="I32" s="47" t="s">
        <v>630</v>
      </c>
      <c r="J32" s="47"/>
      <c r="K32" s="47" t="s">
        <v>1016</v>
      </c>
      <c r="L32" s="47" t="s">
        <v>1017</v>
      </c>
      <c r="M32" s="47"/>
      <c r="N32" s="47" t="str">
        <f t="shared" si="0"/>
        <v>Jul 2026</v>
      </c>
    </row>
    <row r="33" spans="1:14" ht="23.25" customHeight="1" x14ac:dyDescent="0.25">
      <c r="A33" s="47">
        <v>29</v>
      </c>
      <c r="B33" s="70">
        <v>46210</v>
      </c>
      <c r="C33" s="47">
        <v>5</v>
      </c>
      <c r="D33" s="47" t="s">
        <v>998</v>
      </c>
      <c r="E33" s="47" t="s">
        <v>999</v>
      </c>
      <c r="F33" s="47" t="s">
        <v>42</v>
      </c>
      <c r="G33" s="47" t="s">
        <v>114</v>
      </c>
      <c r="H33" s="47" t="s">
        <v>1015</v>
      </c>
      <c r="I33" s="47" t="s">
        <v>630</v>
      </c>
      <c r="J33" s="47"/>
      <c r="K33" s="47" t="s">
        <v>1016</v>
      </c>
      <c r="L33" s="47" t="s">
        <v>1017</v>
      </c>
      <c r="M33" s="47"/>
      <c r="N33" s="47" t="str">
        <f t="shared" si="0"/>
        <v>Jul 2026</v>
      </c>
    </row>
    <row r="34" spans="1:14" ht="23.25" customHeight="1" x14ac:dyDescent="0.25">
      <c r="A34" s="47">
        <v>30</v>
      </c>
      <c r="B34" s="70">
        <v>46210</v>
      </c>
      <c r="C34" s="47">
        <v>6</v>
      </c>
      <c r="D34" s="47" t="s">
        <v>1000</v>
      </c>
      <c r="E34" s="47" t="s">
        <v>1001</v>
      </c>
      <c r="F34" s="47" t="s">
        <v>44</v>
      </c>
      <c r="G34" s="47" t="s">
        <v>116</v>
      </c>
      <c r="H34" s="47" t="s">
        <v>1015</v>
      </c>
      <c r="I34" s="47" t="s">
        <v>630</v>
      </c>
      <c r="J34" s="47"/>
      <c r="K34" s="47" t="s">
        <v>1016</v>
      </c>
      <c r="L34" s="47" t="s">
        <v>1017</v>
      </c>
      <c r="M34" s="47"/>
      <c r="N34" s="47" t="str">
        <f t="shared" si="0"/>
        <v>Jul 2026</v>
      </c>
    </row>
    <row r="35" spans="1:14" ht="23.25" customHeight="1" x14ac:dyDescent="0.25">
      <c r="A35" s="47">
        <v>31</v>
      </c>
      <c r="B35" s="70">
        <v>46211</v>
      </c>
      <c r="C35" s="47">
        <v>1</v>
      </c>
      <c r="D35" s="47" t="s">
        <v>987</v>
      </c>
      <c r="E35" s="47" t="s">
        <v>988</v>
      </c>
      <c r="F35" s="47" t="s">
        <v>12</v>
      </c>
      <c r="G35" s="47" t="s">
        <v>106</v>
      </c>
      <c r="H35" s="47" t="s">
        <v>1015</v>
      </c>
      <c r="I35" s="47" t="s">
        <v>630</v>
      </c>
      <c r="J35" s="47"/>
      <c r="K35" s="47" t="s">
        <v>1016</v>
      </c>
      <c r="L35" s="47" t="s">
        <v>1017</v>
      </c>
      <c r="M35" s="47"/>
      <c r="N35" s="47" t="str">
        <f t="shared" si="0"/>
        <v>Jul 2026</v>
      </c>
    </row>
    <row r="36" spans="1:14" ht="23.25" customHeight="1" x14ac:dyDescent="0.25">
      <c r="A36" s="47">
        <v>32</v>
      </c>
      <c r="B36" s="70">
        <v>46211</v>
      </c>
      <c r="C36" s="47">
        <v>2</v>
      </c>
      <c r="D36" s="47" t="s">
        <v>990</v>
      </c>
      <c r="E36" s="47" t="s">
        <v>991</v>
      </c>
      <c r="F36" s="47" t="s">
        <v>23</v>
      </c>
      <c r="G36" s="47" t="s">
        <v>108</v>
      </c>
      <c r="H36" s="47" t="s">
        <v>1015</v>
      </c>
      <c r="I36" s="47" t="s">
        <v>631</v>
      </c>
      <c r="J36" s="47" t="s">
        <v>1018</v>
      </c>
      <c r="K36" s="47" t="s">
        <v>1016</v>
      </c>
      <c r="L36" s="47" t="s">
        <v>1017</v>
      </c>
      <c r="M36" s="47"/>
      <c r="N36" s="47" t="str">
        <f t="shared" si="0"/>
        <v>Jul 2026</v>
      </c>
    </row>
    <row r="37" spans="1:14" ht="23.25" customHeight="1" x14ac:dyDescent="0.25">
      <c r="A37" s="47">
        <v>33</v>
      </c>
      <c r="B37" s="70">
        <v>46211</v>
      </c>
      <c r="C37" s="47">
        <v>3</v>
      </c>
      <c r="D37" s="47" t="s">
        <v>259</v>
      </c>
      <c r="E37" s="47" t="s">
        <v>993</v>
      </c>
      <c r="F37" s="47" t="s">
        <v>26</v>
      </c>
      <c r="G37" s="47" t="s">
        <v>110</v>
      </c>
      <c r="H37" s="47" t="s">
        <v>1015</v>
      </c>
      <c r="I37" s="47" t="s">
        <v>630</v>
      </c>
      <c r="J37" s="47"/>
      <c r="K37" s="47" t="s">
        <v>1016</v>
      </c>
      <c r="L37" s="47" t="s">
        <v>1017</v>
      </c>
      <c r="M37" s="47"/>
      <c r="N37" s="47" t="str">
        <f t="shared" ref="N37:N68" si="1">TEXT(B37,"mmm yyyy")</f>
        <v>Jul 2026</v>
      </c>
    </row>
    <row r="38" spans="1:14" ht="23.25" customHeight="1" x14ac:dyDescent="0.25">
      <c r="A38" s="47">
        <v>34</v>
      </c>
      <c r="B38" s="70">
        <v>46211</v>
      </c>
      <c r="C38" s="47">
        <v>4</v>
      </c>
      <c r="D38" s="47" t="s">
        <v>995</v>
      </c>
      <c r="E38" s="47" t="s">
        <v>996</v>
      </c>
      <c r="F38" s="47" t="s">
        <v>39</v>
      </c>
      <c r="G38" s="47" t="s">
        <v>112</v>
      </c>
      <c r="H38" s="47" t="s">
        <v>1015</v>
      </c>
      <c r="I38" s="47" t="s">
        <v>630</v>
      </c>
      <c r="J38" s="47"/>
      <c r="K38" s="47" t="s">
        <v>1016</v>
      </c>
      <c r="L38" s="47" t="s">
        <v>1017</v>
      </c>
      <c r="M38" s="47"/>
      <c r="N38" s="47" t="str">
        <f t="shared" si="1"/>
        <v>Jul 2026</v>
      </c>
    </row>
    <row r="39" spans="1:14" ht="23.25" customHeight="1" x14ac:dyDescent="0.25">
      <c r="A39" s="47">
        <v>35</v>
      </c>
      <c r="B39" s="70">
        <v>46211</v>
      </c>
      <c r="C39" s="47">
        <v>5</v>
      </c>
      <c r="D39" s="47" t="s">
        <v>998</v>
      </c>
      <c r="E39" s="47" t="s">
        <v>999</v>
      </c>
      <c r="F39" s="47" t="s">
        <v>42</v>
      </c>
      <c r="G39" s="47" t="s">
        <v>114</v>
      </c>
      <c r="H39" s="47" t="s">
        <v>1015</v>
      </c>
      <c r="I39" s="47" t="s">
        <v>630</v>
      </c>
      <c r="J39" s="47"/>
      <c r="K39" s="47" t="s">
        <v>1016</v>
      </c>
      <c r="L39" s="47" t="s">
        <v>1017</v>
      </c>
      <c r="M39" s="47"/>
      <c r="N39" s="47" t="str">
        <f t="shared" si="1"/>
        <v>Jul 2026</v>
      </c>
    </row>
    <row r="40" spans="1:14" ht="23.25" customHeight="1" x14ac:dyDescent="0.25">
      <c r="A40" s="47">
        <v>36</v>
      </c>
      <c r="B40" s="70">
        <v>46211</v>
      </c>
      <c r="C40" s="47">
        <v>6</v>
      </c>
      <c r="D40" s="47" t="s">
        <v>1000</v>
      </c>
      <c r="E40" s="47" t="s">
        <v>1001</v>
      </c>
      <c r="F40" s="47" t="s">
        <v>44</v>
      </c>
      <c r="G40" s="47" t="s">
        <v>116</v>
      </c>
      <c r="H40" s="47" t="s">
        <v>1015</v>
      </c>
      <c r="I40" s="47" t="s">
        <v>631</v>
      </c>
      <c r="J40" s="47" t="s">
        <v>1018</v>
      </c>
      <c r="K40" s="47" t="s">
        <v>1016</v>
      </c>
      <c r="L40" s="47" t="s">
        <v>1017</v>
      </c>
      <c r="M40" s="47"/>
      <c r="N40" s="47" t="str">
        <f t="shared" si="1"/>
        <v>Jul 2026</v>
      </c>
    </row>
    <row r="41" spans="1:14" ht="23.25" customHeight="1" x14ac:dyDescent="0.25">
      <c r="A41" s="47">
        <v>37</v>
      </c>
      <c r="B41" s="70">
        <v>46212</v>
      </c>
      <c r="C41" s="47">
        <v>1</v>
      </c>
      <c r="D41" s="47" t="s">
        <v>987</v>
      </c>
      <c r="E41" s="47" t="s">
        <v>988</v>
      </c>
      <c r="F41" s="47" t="s">
        <v>12</v>
      </c>
      <c r="G41" s="47" t="s">
        <v>106</v>
      </c>
      <c r="H41" s="47" t="s">
        <v>1015</v>
      </c>
      <c r="I41" s="47" t="s">
        <v>630</v>
      </c>
      <c r="J41" s="47"/>
      <c r="K41" s="47" t="s">
        <v>1016</v>
      </c>
      <c r="L41" s="47" t="s">
        <v>1017</v>
      </c>
      <c r="M41" s="47"/>
      <c r="N41" s="47" t="str">
        <f t="shared" si="1"/>
        <v>Jul 2026</v>
      </c>
    </row>
    <row r="42" spans="1:14" ht="23.25" customHeight="1" x14ac:dyDescent="0.25">
      <c r="A42" s="47">
        <v>38</v>
      </c>
      <c r="B42" s="70">
        <v>46212</v>
      </c>
      <c r="C42" s="47">
        <v>2</v>
      </c>
      <c r="D42" s="47" t="s">
        <v>990</v>
      </c>
      <c r="E42" s="47" t="s">
        <v>991</v>
      </c>
      <c r="F42" s="47" t="s">
        <v>23</v>
      </c>
      <c r="G42" s="47" t="s">
        <v>108</v>
      </c>
      <c r="H42" s="47" t="s">
        <v>1015</v>
      </c>
      <c r="I42" s="47" t="s">
        <v>630</v>
      </c>
      <c r="J42" s="47"/>
      <c r="K42" s="47" t="s">
        <v>1016</v>
      </c>
      <c r="L42" s="47" t="s">
        <v>1017</v>
      </c>
      <c r="M42" s="47"/>
      <c r="N42" s="47" t="str">
        <f t="shared" si="1"/>
        <v>Jul 2026</v>
      </c>
    </row>
    <row r="43" spans="1:14" ht="23.25" customHeight="1" x14ac:dyDescent="0.25">
      <c r="A43" s="47">
        <v>39</v>
      </c>
      <c r="B43" s="70">
        <v>46212</v>
      </c>
      <c r="C43" s="47">
        <v>3</v>
      </c>
      <c r="D43" s="47" t="s">
        <v>259</v>
      </c>
      <c r="E43" s="47" t="s">
        <v>993</v>
      </c>
      <c r="F43" s="47" t="s">
        <v>26</v>
      </c>
      <c r="G43" s="47" t="s">
        <v>110</v>
      </c>
      <c r="H43" s="47" t="s">
        <v>1015</v>
      </c>
      <c r="I43" s="47" t="s">
        <v>630</v>
      </c>
      <c r="J43" s="47"/>
      <c r="K43" s="47" t="s">
        <v>1016</v>
      </c>
      <c r="L43" s="47" t="s">
        <v>1017</v>
      </c>
      <c r="M43" s="47"/>
      <c r="N43" s="47" t="str">
        <f t="shared" si="1"/>
        <v>Jul 2026</v>
      </c>
    </row>
    <row r="44" spans="1:14" ht="23.25" customHeight="1" x14ac:dyDescent="0.25">
      <c r="A44" s="47">
        <v>40</v>
      </c>
      <c r="B44" s="70">
        <v>46212</v>
      </c>
      <c r="C44" s="47">
        <v>4</v>
      </c>
      <c r="D44" s="47" t="s">
        <v>995</v>
      </c>
      <c r="E44" s="47" t="s">
        <v>996</v>
      </c>
      <c r="F44" s="47" t="s">
        <v>39</v>
      </c>
      <c r="G44" s="47" t="s">
        <v>112</v>
      </c>
      <c r="H44" s="47" t="s">
        <v>1015</v>
      </c>
      <c r="I44" s="47" t="s">
        <v>630</v>
      </c>
      <c r="J44" s="47"/>
      <c r="K44" s="47" t="s">
        <v>1016</v>
      </c>
      <c r="L44" s="47" t="s">
        <v>1017</v>
      </c>
      <c r="M44" s="47"/>
      <c r="N44" s="47" t="str">
        <f t="shared" si="1"/>
        <v>Jul 2026</v>
      </c>
    </row>
    <row r="45" spans="1:14" ht="23.25" customHeight="1" x14ac:dyDescent="0.25">
      <c r="A45" s="47">
        <v>41</v>
      </c>
      <c r="B45" s="70">
        <v>46212</v>
      </c>
      <c r="C45" s="47">
        <v>5</v>
      </c>
      <c r="D45" s="47" t="s">
        <v>998</v>
      </c>
      <c r="E45" s="47" t="s">
        <v>999</v>
      </c>
      <c r="F45" s="47" t="s">
        <v>42</v>
      </c>
      <c r="G45" s="47" t="s">
        <v>114</v>
      </c>
      <c r="H45" s="47" t="s">
        <v>1015</v>
      </c>
      <c r="I45" s="47" t="s">
        <v>630</v>
      </c>
      <c r="J45" s="47"/>
      <c r="K45" s="47" t="s">
        <v>1016</v>
      </c>
      <c r="L45" s="47" t="s">
        <v>1017</v>
      </c>
      <c r="M45" s="47"/>
      <c r="N45" s="47" t="str">
        <f t="shared" si="1"/>
        <v>Jul 2026</v>
      </c>
    </row>
    <row r="46" spans="1:14" ht="23.25" customHeight="1" x14ac:dyDescent="0.25">
      <c r="A46" s="47">
        <v>42</v>
      </c>
      <c r="B46" s="70">
        <v>46212</v>
      </c>
      <c r="C46" s="47">
        <v>6</v>
      </c>
      <c r="D46" s="47" t="s">
        <v>1000</v>
      </c>
      <c r="E46" s="47" t="s">
        <v>1001</v>
      </c>
      <c r="F46" s="47" t="s">
        <v>44</v>
      </c>
      <c r="G46" s="47" t="s">
        <v>116</v>
      </c>
      <c r="H46" s="47" t="s">
        <v>1015</v>
      </c>
      <c r="I46" s="47" t="s">
        <v>630</v>
      </c>
      <c r="J46" s="47"/>
      <c r="K46" s="47" t="s">
        <v>1016</v>
      </c>
      <c r="L46" s="47" t="s">
        <v>1017</v>
      </c>
      <c r="M46" s="47"/>
      <c r="N46" s="47" t="str">
        <f t="shared" si="1"/>
        <v>Jul 2026</v>
      </c>
    </row>
    <row r="47" spans="1:14" ht="23.25" customHeight="1" x14ac:dyDescent="0.25">
      <c r="A47" s="47">
        <v>43</v>
      </c>
      <c r="B47" s="70">
        <v>46213</v>
      </c>
      <c r="C47" s="47">
        <v>1</v>
      </c>
      <c r="D47" s="47" t="s">
        <v>987</v>
      </c>
      <c r="E47" s="47" t="s">
        <v>988</v>
      </c>
      <c r="F47" s="47" t="s">
        <v>12</v>
      </c>
      <c r="G47" s="47" t="s">
        <v>106</v>
      </c>
      <c r="H47" s="47" t="s">
        <v>1015</v>
      </c>
      <c r="I47" s="47" t="s">
        <v>630</v>
      </c>
      <c r="J47" s="47"/>
      <c r="K47" s="47" t="s">
        <v>1016</v>
      </c>
      <c r="L47" s="47" t="s">
        <v>1017</v>
      </c>
      <c r="M47" s="47"/>
      <c r="N47" s="47" t="str">
        <f t="shared" si="1"/>
        <v>Jul 2026</v>
      </c>
    </row>
    <row r="48" spans="1:14" ht="23.25" customHeight="1" x14ac:dyDescent="0.25">
      <c r="A48" s="47">
        <v>44</v>
      </c>
      <c r="B48" s="70">
        <v>46213</v>
      </c>
      <c r="C48" s="47">
        <v>2</v>
      </c>
      <c r="D48" s="47" t="s">
        <v>990</v>
      </c>
      <c r="E48" s="47" t="s">
        <v>991</v>
      </c>
      <c r="F48" s="47" t="s">
        <v>23</v>
      </c>
      <c r="G48" s="47" t="s">
        <v>108</v>
      </c>
      <c r="H48" s="47" t="s">
        <v>1015</v>
      </c>
      <c r="I48" s="47" t="s">
        <v>630</v>
      </c>
      <c r="J48" s="47"/>
      <c r="K48" s="47" t="s">
        <v>1016</v>
      </c>
      <c r="L48" s="47" t="s">
        <v>1017</v>
      </c>
      <c r="M48" s="47"/>
      <c r="N48" s="47" t="str">
        <f t="shared" si="1"/>
        <v>Jul 2026</v>
      </c>
    </row>
    <row r="49" spans="1:14" ht="23.25" customHeight="1" x14ac:dyDescent="0.25">
      <c r="A49" s="47">
        <v>45</v>
      </c>
      <c r="B49" s="70">
        <v>46213</v>
      </c>
      <c r="C49" s="47">
        <v>3</v>
      </c>
      <c r="D49" s="47" t="s">
        <v>259</v>
      </c>
      <c r="E49" s="47" t="s">
        <v>993</v>
      </c>
      <c r="F49" s="47" t="s">
        <v>26</v>
      </c>
      <c r="G49" s="47" t="s">
        <v>110</v>
      </c>
      <c r="H49" s="47" t="s">
        <v>1015</v>
      </c>
      <c r="I49" s="47" t="s">
        <v>630</v>
      </c>
      <c r="J49" s="47"/>
      <c r="K49" s="47" t="s">
        <v>1016</v>
      </c>
      <c r="L49" s="47" t="s">
        <v>1017</v>
      </c>
      <c r="M49" s="47"/>
      <c r="N49" s="47" t="str">
        <f t="shared" si="1"/>
        <v>Jul 2026</v>
      </c>
    </row>
    <row r="50" spans="1:14" ht="23.25" customHeight="1" x14ac:dyDescent="0.25">
      <c r="A50" s="47">
        <v>46</v>
      </c>
      <c r="B50" s="70">
        <v>46213</v>
      </c>
      <c r="C50" s="47">
        <v>4</v>
      </c>
      <c r="D50" s="47" t="s">
        <v>995</v>
      </c>
      <c r="E50" s="47" t="s">
        <v>996</v>
      </c>
      <c r="F50" s="47" t="s">
        <v>39</v>
      </c>
      <c r="G50" s="47" t="s">
        <v>112</v>
      </c>
      <c r="H50" s="47" t="s">
        <v>1015</v>
      </c>
      <c r="I50" s="47" t="s">
        <v>630</v>
      </c>
      <c r="J50" s="47"/>
      <c r="K50" s="47" t="s">
        <v>1016</v>
      </c>
      <c r="L50" s="47" t="s">
        <v>1017</v>
      </c>
      <c r="M50" s="47"/>
      <c r="N50" s="47" t="str">
        <f t="shared" si="1"/>
        <v>Jul 2026</v>
      </c>
    </row>
    <row r="51" spans="1:14" ht="23.25" customHeight="1" x14ac:dyDescent="0.25">
      <c r="A51" s="47">
        <v>47</v>
      </c>
      <c r="B51" s="70">
        <v>46213</v>
      </c>
      <c r="C51" s="47">
        <v>5</v>
      </c>
      <c r="D51" s="47" t="s">
        <v>998</v>
      </c>
      <c r="E51" s="47" t="s">
        <v>999</v>
      </c>
      <c r="F51" s="47" t="s">
        <v>42</v>
      </c>
      <c r="G51" s="47" t="s">
        <v>114</v>
      </c>
      <c r="H51" s="47" t="s">
        <v>1015</v>
      </c>
      <c r="I51" s="47" t="s">
        <v>630</v>
      </c>
      <c r="J51" s="47"/>
      <c r="K51" s="47" t="s">
        <v>1016</v>
      </c>
      <c r="L51" s="47" t="s">
        <v>1017</v>
      </c>
      <c r="M51" s="47"/>
      <c r="N51" s="47" t="str">
        <f t="shared" si="1"/>
        <v>Jul 2026</v>
      </c>
    </row>
    <row r="52" spans="1:14" ht="23.25" customHeight="1" x14ac:dyDescent="0.25">
      <c r="A52" s="47">
        <v>48</v>
      </c>
      <c r="B52" s="70">
        <v>46213</v>
      </c>
      <c r="C52" s="47">
        <v>6</v>
      </c>
      <c r="D52" s="47" t="s">
        <v>1000</v>
      </c>
      <c r="E52" s="47" t="s">
        <v>1001</v>
      </c>
      <c r="F52" s="47" t="s">
        <v>44</v>
      </c>
      <c r="G52" s="47" t="s">
        <v>116</v>
      </c>
      <c r="H52" s="47" t="s">
        <v>1015</v>
      </c>
      <c r="I52" s="47" t="s">
        <v>630</v>
      </c>
      <c r="J52" s="47"/>
      <c r="K52" s="47" t="s">
        <v>1016</v>
      </c>
      <c r="L52" s="47" t="s">
        <v>1017</v>
      </c>
      <c r="M52" s="47"/>
      <c r="N52" s="47" t="str">
        <f t="shared" si="1"/>
        <v>Jul 2026</v>
      </c>
    </row>
    <row r="53" spans="1:14" ht="23.25" customHeight="1" x14ac:dyDescent="0.25">
      <c r="A53" s="47">
        <v>49</v>
      </c>
      <c r="B53" s="70">
        <v>46216</v>
      </c>
      <c r="C53" s="47">
        <v>1</v>
      </c>
      <c r="D53" s="47" t="s">
        <v>987</v>
      </c>
      <c r="E53" s="47" t="s">
        <v>988</v>
      </c>
      <c r="F53" s="47" t="s">
        <v>12</v>
      </c>
      <c r="G53" s="47" t="s">
        <v>106</v>
      </c>
      <c r="H53" s="47" t="s">
        <v>1015</v>
      </c>
      <c r="I53" s="47" t="s">
        <v>630</v>
      </c>
      <c r="J53" s="47"/>
      <c r="K53" s="47" t="s">
        <v>1016</v>
      </c>
      <c r="L53" s="47" t="s">
        <v>1017</v>
      </c>
      <c r="M53" s="47"/>
      <c r="N53" s="47" t="str">
        <f t="shared" si="1"/>
        <v>Jul 2026</v>
      </c>
    </row>
    <row r="54" spans="1:14" ht="23.25" customHeight="1" x14ac:dyDescent="0.25">
      <c r="A54" s="47">
        <v>50</v>
      </c>
      <c r="B54" s="70">
        <v>46216</v>
      </c>
      <c r="C54" s="47">
        <v>2</v>
      </c>
      <c r="D54" s="47" t="s">
        <v>990</v>
      </c>
      <c r="E54" s="47" t="s">
        <v>991</v>
      </c>
      <c r="F54" s="47" t="s">
        <v>23</v>
      </c>
      <c r="G54" s="47" t="s">
        <v>108</v>
      </c>
      <c r="H54" s="47" t="s">
        <v>1015</v>
      </c>
      <c r="I54" s="47" t="s">
        <v>631</v>
      </c>
      <c r="J54" s="47" t="s">
        <v>1018</v>
      </c>
      <c r="K54" s="47" t="s">
        <v>1016</v>
      </c>
      <c r="L54" s="47" t="s">
        <v>1017</v>
      </c>
      <c r="M54" s="47"/>
      <c r="N54" s="47" t="str">
        <f t="shared" si="1"/>
        <v>Jul 2026</v>
      </c>
    </row>
    <row r="55" spans="1:14" ht="23.25" customHeight="1" x14ac:dyDescent="0.25">
      <c r="A55" s="47">
        <v>51</v>
      </c>
      <c r="B55" s="70">
        <v>46216</v>
      </c>
      <c r="C55" s="47">
        <v>3</v>
      </c>
      <c r="D55" s="47" t="s">
        <v>259</v>
      </c>
      <c r="E55" s="47" t="s">
        <v>993</v>
      </c>
      <c r="F55" s="47" t="s">
        <v>26</v>
      </c>
      <c r="G55" s="47" t="s">
        <v>110</v>
      </c>
      <c r="H55" s="47" t="s">
        <v>1015</v>
      </c>
      <c r="I55" s="47" t="s">
        <v>630</v>
      </c>
      <c r="J55" s="47"/>
      <c r="K55" s="47" t="s">
        <v>1016</v>
      </c>
      <c r="L55" s="47" t="s">
        <v>1017</v>
      </c>
      <c r="M55" s="47"/>
      <c r="N55" s="47" t="str">
        <f t="shared" si="1"/>
        <v>Jul 2026</v>
      </c>
    </row>
    <row r="56" spans="1:14" ht="23.25" customHeight="1" x14ac:dyDescent="0.25">
      <c r="A56" s="47">
        <v>52</v>
      </c>
      <c r="B56" s="70">
        <v>46216</v>
      </c>
      <c r="C56" s="47">
        <v>4</v>
      </c>
      <c r="D56" s="47" t="s">
        <v>995</v>
      </c>
      <c r="E56" s="47" t="s">
        <v>996</v>
      </c>
      <c r="F56" s="47" t="s">
        <v>39</v>
      </c>
      <c r="G56" s="47" t="s">
        <v>112</v>
      </c>
      <c r="H56" s="47" t="s">
        <v>1015</v>
      </c>
      <c r="I56" s="47" t="s">
        <v>630</v>
      </c>
      <c r="J56" s="47"/>
      <c r="K56" s="47" t="s">
        <v>1016</v>
      </c>
      <c r="L56" s="47" t="s">
        <v>1017</v>
      </c>
      <c r="M56" s="47"/>
      <c r="N56" s="47" t="str">
        <f t="shared" si="1"/>
        <v>Jul 2026</v>
      </c>
    </row>
    <row r="57" spans="1:14" ht="23.25" customHeight="1" x14ac:dyDescent="0.25">
      <c r="A57" s="47">
        <v>53</v>
      </c>
      <c r="B57" s="70">
        <v>46216</v>
      </c>
      <c r="C57" s="47">
        <v>5</v>
      </c>
      <c r="D57" s="47" t="s">
        <v>998</v>
      </c>
      <c r="E57" s="47" t="s">
        <v>999</v>
      </c>
      <c r="F57" s="47" t="s">
        <v>42</v>
      </c>
      <c r="G57" s="47" t="s">
        <v>114</v>
      </c>
      <c r="H57" s="47" t="s">
        <v>1015</v>
      </c>
      <c r="I57" s="47" t="s">
        <v>630</v>
      </c>
      <c r="J57" s="47"/>
      <c r="K57" s="47" t="s">
        <v>1016</v>
      </c>
      <c r="L57" s="47" t="s">
        <v>1017</v>
      </c>
      <c r="M57" s="47"/>
      <c r="N57" s="47" t="str">
        <f t="shared" si="1"/>
        <v>Jul 2026</v>
      </c>
    </row>
    <row r="58" spans="1:14" ht="23.25" customHeight="1" x14ac:dyDescent="0.25">
      <c r="A58" s="47">
        <v>54</v>
      </c>
      <c r="B58" s="70">
        <v>46216</v>
      </c>
      <c r="C58" s="47">
        <v>6</v>
      </c>
      <c r="D58" s="47" t="s">
        <v>1000</v>
      </c>
      <c r="E58" s="47" t="s">
        <v>1001</v>
      </c>
      <c r="F58" s="47" t="s">
        <v>44</v>
      </c>
      <c r="G58" s="47" t="s">
        <v>116</v>
      </c>
      <c r="H58" s="47" t="s">
        <v>1015</v>
      </c>
      <c r="I58" s="47" t="s">
        <v>631</v>
      </c>
      <c r="J58" s="47" t="s">
        <v>1018</v>
      </c>
      <c r="K58" s="47" t="s">
        <v>1016</v>
      </c>
      <c r="L58" s="47" t="s">
        <v>1017</v>
      </c>
      <c r="M58" s="47"/>
      <c r="N58" s="47" t="str">
        <f t="shared" si="1"/>
        <v>Jul 2026</v>
      </c>
    </row>
    <row r="59" spans="1:14" ht="23.25" customHeight="1" x14ac:dyDescent="0.25">
      <c r="A59" s="47">
        <v>55</v>
      </c>
      <c r="B59" s="70">
        <v>46217</v>
      </c>
      <c r="C59" s="47">
        <v>1</v>
      </c>
      <c r="D59" s="47" t="s">
        <v>987</v>
      </c>
      <c r="E59" s="47" t="s">
        <v>988</v>
      </c>
      <c r="F59" s="47" t="s">
        <v>12</v>
      </c>
      <c r="G59" s="47" t="s">
        <v>106</v>
      </c>
      <c r="H59" s="47" t="s">
        <v>1015</v>
      </c>
      <c r="I59" s="47" t="s">
        <v>630</v>
      </c>
      <c r="J59" s="47"/>
      <c r="K59" s="47" t="s">
        <v>1016</v>
      </c>
      <c r="L59" s="47" t="s">
        <v>1017</v>
      </c>
      <c r="M59" s="47"/>
      <c r="N59" s="47" t="str">
        <f t="shared" si="1"/>
        <v>Jul 2026</v>
      </c>
    </row>
    <row r="60" spans="1:14" ht="23.25" customHeight="1" x14ac:dyDescent="0.25">
      <c r="A60" s="47">
        <v>56</v>
      </c>
      <c r="B60" s="70">
        <v>46217</v>
      </c>
      <c r="C60" s="47">
        <v>2</v>
      </c>
      <c r="D60" s="47" t="s">
        <v>990</v>
      </c>
      <c r="E60" s="47" t="s">
        <v>991</v>
      </c>
      <c r="F60" s="47" t="s">
        <v>23</v>
      </c>
      <c r="G60" s="47" t="s">
        <v>108</v>
      </c>
      <c r="H60" s="47" t="s">
        <v>1015</v>
      </c>
      <c r="I60" s="47" t="s">
        <v>630</v>
      </c>
      <c r="J60" s="47"/>
      <c r="K60" s="47" t="s">
        <v>1016</v>
      </c>
      <c r="L60" s="47" t="s">
        <v>1017</v>
      </c>
      <c r="M60" s="47"/>
      <c r="N60" s="47" t="str">
        <f t="shared" si="1"/>
        <v>Jul 2026</v>
      </c>
    </row>
    <row r="61" spans="1:14" ht="23.25" customHeight="1" x14ac:dyDescent="0.25">
      <c r="A61" s="47">
        <v>57</v>
      </c>
      <c r="B61" s="70">
        <v>46217</v>
      </c>
      <c r="C61" s="47">
        <v>3</v>
      </c>
      <c r="D61" s="47" t="s">
        <v>259</v>
      </c>
      <c r="E61" s="47" t="s">
        <v>993</v>
      </c>
      <c r="F61" s="47" t="s">
        <v>26</v>
      </c>
      <c r="G61" s="47" t="s">
        <v>110</v>
      </c>
      <c r="H61" s="47" t="s">
        <v>1015</v>
      </c>
      <c r="I61" s="47" t="s">
        <v>630</v>
      </c>
      <c r="J61" s="47"/>
      <c r="K61" s="47" t="s">
        <v>1016</v>
      </c>
      <c r="L61" s="47" t="s">
        <v>1017</v>
      </c>
      <c r="M61" s="47"/>
      <c r="N61" s="47" t="str">
        <f t="shared" si="1"/>
        <v>Jul 2026</v>
      </c>
    </row>
    <row r="62" spans="1:14" ht="23.25" customHeight="1" x14ac:dyDescent="0.25">
      <c r="A62" s="47">
        <v>58</v>
      </c>
      <c r="B62" s="70">
        <v>46217</v>
      </c>
      <c r="C62" s="47">
        <v>4</v>
      </c>
      <c r="D62" s="47" t="s">
        <v>995</v>
      </c>
      <c r="E62" s="47" t="s">
        <v>996</v>
      </c>
      <c r="F62" s="47" t="s">
        <v>39</v>
      </c>
      <c r="G62" s="47" t="s">
        <v>112</v>
      </c>
      <c r="H62" s="47" t="s">
        <v>1015</v>
      </c>
      <c r="I62" s="47" t="s">
        <v>630</v>
      </c>
      <c r="J62" s="47"/>
      <c r="K62" s="47" t="s">
        <v>1016</v>
      </c>
      <c r="L62" s="47" t="s">
        <v>1017</v>
      </c>
      <c r="M62" s="47"/>
      <c r="N62" s="47" t="str">
        <f t="shared" si="1"/>
        <v>Jul 2026</v>
      </c>
    </row>
    <row r="63" spans="1:14" ht="23.25" customHeight="1" x14ac:dyDescent="0.25">
      <c r="A63" s="47">
        <v>59</v>
      </c>
      <c r="B63" s="70">
        <v>46217</v>
      </c>
      <c r="C63" s="47">
        <v>5</v>
      </c>
      <c r="D63" s="47" t="s">
        <v>998</v>
      </c>
      <c r="E63" s="47" t="s">
        <v>999</v>
      </c>
      <c r="F63" s="47" t="s">
        <v>42</v>
      </c>
      <c r="G63" s="47" t="s">
        <v>114</v>
      </c>
      <c r="H63" s="47" t="s">
        <v>1015</v>
      </c>
      <c r="I63" s="47" t="s">
        <v>630</v>
      </c>
      <c r="J63" s="47"/>
      <c r="K63" s="47" t="s">
        <v>1016</v>
      </c>
      <c r="L63" s="47" t="s">
        <v>1017</v>
      </c>
      <c r="M63" s="47"/>
      <c r="N63" s="47" t="str">
        <f t="shared" si="1"/>
        <v>Jul 2026</v>
      </c>
    </row>
    <row r="64" spans="1:14" ht="23.25" customHeight="1" x14ac:dyDescent="0.25">
      <c r="A64" s="47">
        <v>60</v>
      </c>
      <c r="B64" s="70">
        <v>46217</v>
      </c>
      <c r="C64" s="47">
        <v>6</v>
      </c>
      <c r="D64" s="47" t="s">
        <v>1000</v>
      </c>
      <c r="E64" s="47" t="s">
        <v>1001</v>
      </c>
      <c r="F64" s="47" t="s">
        <v>44</v>
      </c>
      <c r="G64" s="47" t="s">
        <v>116</v>
      </c>
      <c r="H64" s="47" t="s">
        <v>1015</v>
      </c>
      <c r="I64" s="47" t="s">
        <v>630</v>
      </c>
      <c r="J64" s="47"/>
      <c r="K64" s="47" t="s">
        <v>1016</v>
      </c>
      <c r="L64" s="47" t="s">
        <v>1017</v>
      </c>
      <c r="M64" s="47"/>
      <c r="N64" s="47" t="str">
        <f t="shared" si="1"/>
        <v>Jul 2026</v>
      </c>
    </row>
    <row r="65" spans="1:14" ht="23.25" customHeight="1" x14ac:dyDescent="0.25">
      <c r="A65" s="47">
        <v>61</v>
      </c>
      <c r="B65" s="70">
        <v>46218</v>
      </c>
      <c r="C65" s="47">
        <v>1</v>
      </c>
      <c r="D65" s="47" t="s">
        <v>987</v>
      </c>
      <c r="E65" s="47" t="s">
        <v>988</v>
      </c>
      <c r="F65" s="47" t="s">
        <v>12</v>
      </c>
      <c r="G65" s="47" t="s">
        <v>106</v>
      </c>
      <c r="H65" s="47" t="s">
        <v>1015</v>
      </c>
      <c r="I65" s="47" t="s">
        <v>630</v>
      </c>
      <c r="J65" s="47"/>
      <c r="K65" s="47" t="s">
        <v>1016</v>
      </c>
      <c r="L65" s="47" t="s">
        <v>1017</v>
      </c>
      <c r="M65" s="47"/>
      <c r="N65" s="47" t="str">
        <f t="shared" si="1"/>
        <v>Jul 2026</v>
      </c>
    </row>
    <row r="66" spans="1:14" ht="23.25" customHeight="1" x14ac:dyDescent="0.25">
      <c r="A66" s="47">
        <v>62</v>
      </c>
      <c r="B66" s="70">
        <v>46218</v>
      </c>
      <c r="C66" s="47">
        <v>2</v>
      </c>
      <c r="D66" s="47" t="s">
        <v>990</v>
      </c>
      <c r="E66" s="47" t="s">
        <v>991</v>
      </c>
      <c r="F66" s="47" t="s">
        <v>23</v>
      </c>
      <c r="G66" s="47" t="s">
        <v>108</v>
      </c>
      <c r="H66" s="47" t="s">
        <v>1015</v>
      </c>
      <c r="I66" s="47" t="s">
        <v>630</v>
      </c>
      <c r="J66" s="47"/>
      <c r="K66" s="47" t="s">
        <v>1016</v>
      </c>
      <c r="L66" s="47" t="s">
        <v>1017</v>
      </c>
      <c r="M66" s="47"/>
      <c r="N66" s="47" t="str">
        <f t="shared" si="1"/>
        <v>Jul 2026</v>
      </c>
    </row>
    <row r="67" spans="1:14" ht="23.25" customHeight="1" x14ac:dyDescent="0.25">
      <c r="A67" s="47">
        <v>63</v>
      </c>
      <c r="B67" s="70">
        <v>46218</v>
      </c>
      <c r="C67" s="47">
        <v>3</v>
      </c>
      <c r="D67" s="47" t="s">
        <v>259</v>
      </c>
      <c r="E67" s="47" t="s">
        <v>993</v>
      </c>
      <c r="F67" s="47" t="s">
        <v>26</v>
      </c>
      <c r="G67" s="47" t="s">
        <v>110</v>
      </c>
      <c r="H67" s="47" t="s">
        <v>1015</v>
      </c>
      <c r="I67" s="47" t="s">
        <v>630</v>
      </c>
      <c r="J67" s="47"/>
      <c r="K67" s="47" t="s">
        <v>1016</v>
      </c>
      <c r="L67" s="47" t="s">
        <v>1017</v>
      </c>
      <c r="M67" s="47"/>
      <c r="N67" s="47" t="str">
        <f t="shared" si="1"/>
        <v>Jul 2026</v>
      </c>
    </row>
    <row r="68" spans="1:14" ht="23.25" customHeight="1" x14ac:dyDescent="0.25">
      <c r="A68" s="47">
        <v>64</v>
      </c>
      <c r="B68" s="70">
        <v>46218</v>
      </c>
      <c r="C68" s="47">
        <v>4</v>
      </c>
      <c r="D68" s="47" t="s">
        <v>995</v>
      </c>
      <c r="E68" s="47" t="s">
        <v>996</v>
      </c>
      <c r="F68" s="47" t="s">
        <v>39</v>
      </c>
      <c r="G68" s="47" t="s">
        <v>112</v>
      </c>
      <c r="H68" s="47" t="s">
        <v>1015</v>
      </c>
      <c r="I68" s="47" t="s">
        <v>630</v>
      </c>
      <c r="J68" s="47"/>
      <c r="K68" s="47" t="s">
        <v>1016</v>
      </c>
      <c r="L68" s="47" t="s">
        <v>1017</v>
      </c>
      <c r="M68" s="47"/>
      <c r="N68" s="47" t="str">
        <f t="shared" si="1"/>
        <v>Jul 2026</v>
      </c>
    </row>
    <row r="69" spans="1:14" ht="23.25" customHeight="1" x14ac:dyDescent="0.25">
      <c r="A69" s="47">
        <v>65</v>
      </c>
      <c r="B69" s="70">
        <v>46218</v>
      </c>
      <c r="C69" s="47">
        <v>5</v>
      </c>
      <c r="D69" s="47" t="s">
        <v>998</v>
      </c>
      <c r="E69" s="47" t="s">
        <v>999</v>
      </c>
      <c r="F69" s="47" t="s">
        <v>42</v>
      </c>
      <c r="G69" s="47" t="s">
        <v>114</v>
      </c>
      <c r="H69" s="47" t="s">
        <v>1015</v>
      </c>
      <c r="I69" s="47" t="s">
        <v>630</v>
      </c>
      <c r="J69" s="47"/>
      <c r="K69" s="47" t="s">
        <v>1016</v>
      </c>
      <c r="L69" s="47" t="s">
        <v>1017</v>
      </c>
      <c r="M69" s="47"/>
      <c r="N69" s="47" t="str">
        <f t="shared" ref="N69:N88" si="2">TEXT(B69,"mmm yyyy")</f>
        <v>Jul 2026</v>
      </c>
    </row>
    <row r="70" spans="1:14" ht="23.25" customHeight="1" x14ac:dyDescent="0.25">
      <c r="A70" s="47">
        <v>66</v>
      </c>
      <c r="B70" s="70">
        <v>46218</v>
      </c>
      <c r="C70" s="47">
        <v>6</v>
      </c>
      <c r="D70" s="47" t="s">
        <v>1000</v>
      </c>
      <c r="E70" s="47" t="s">
        <v>1001</v>
      </c>
      <c r="F70" s="47" t="s">
        <v>44</v>
      </c>
      <c r="G70" s="47" t="s">
        <v>116</v>
      </c>
      <c r="H70" s="47" t="s">
        <v>1015</v>
      </c>
      <c r="I70" s="47" t="s">
        <v>630</v>
      </c>
      <c r="J70" s="47"/>
      <c r="K70" s="47" t="s">
        <v>1016</v>
      </c>
      <c r="L70" s="47" t="s">
        <v>1017</v>
      </c>
      <c r="M70" s="47"/>
      <c r="N70" s="47" t="str">
        <f t="shared" si="2"/>
        <v>Jul 2026</v>
      </c>
    </row>
    <row r="71" spans="1:14" ht="23.25" customHeight="1" x14ac:dyDescent="0.25">
      <c r="A71" s="47">
        <v>67</v>
      </c>
      <c r="B71" s="70">
        <v>46219</v>
      </c>
      <c r="C71" s="47">
        <v>1</v>
      </c>
      <c r="D71" s="47" t="s">
        <v>987</v>
      </c>
      <c r="E71" s="47" t="s">
        <v>988</v>
      </c>
      <c r="F71" s="47" t="s">
        <v>12</v>
      </c>
      <c r="G71" s="47" t="s">
        <v>106</v>
      </c>
      <c r="H71" s="47" t="s">
        <v>1015</v>
      </c>
      <c r="I71" s="47" t="s">
        <v>630</v>
      </c>
      <c r="J71" s="47"/>
      <c r="K71" s="47" t="s">
        <v>1016</v>
      </c>
      <c r="L71" s="47" t="s">
        <v>1017</v>
      </c>
      <c r="M71" s="47"/>
      <c r="N71" s="47" t="str">
        <f t="shared" si="2"/>
        <v>Jul 2026</v>
      </c>
    </row>
    <row r="72" spans="1:14" ht="23.25" customHeight="1" x14ac:dyDescent="0.25">
      <c r="A72" s="47">
        <v>68</v>
      </c>
      <c r="B72" s="70">
        <v>46219</v>
      </c>
      <c r="C72" s="47">
        <v>2</v>
      </c>
      <c r="D72" s="47" t="s">
        <v>990</v>
      </c>
      <c r="E72" s="47" t="s">
        <v>991</v>
      </c>
      <c r="F72" s="47" t="s">
        <v>23</v>
      </c>
      <c r="G72" s="47" t="s">
        <v>108</v>
      </c>
      <c r="H72" s="47" t="s">
        <v>1015</v>
      </c>
      <c r="I72" s="47" t="s">
        <v>630</v>
      </c>
      <c r="J72" s="47"/>
      <c r="K72" s="47" t="s">
        <v>1016</v>
      </c>
      <c r="L72" s="47" t="s">
        <v>1017</v>
      </c>
      <c r="M72" s="47"/>
      <c r="N72" s="47" t="str">
        <f t="shared" si="2"/>
        <v>Jul 2026</v>
      </c>
    </row>
    <row r="73" spans="1:14" ht="23.25" customHeight="1" x14ac:dyDescent="0.25">
      <c r="A73" s="47">
        <v>69</v>
      </c>
      <c r="B73" s="70">
        <v>46219</v>
      </c>
      <c r="C73" s="47">
        <v>3</v>
      </c>
      <c r="D73" s="47" t="s">
        <v>259</v>
      </c>
      <c r="E73" s="47" t="s">
        <v>993</v>
      </c>
      <c r="F73" s="47" t="s">
        <v>26</v>
      </c>
      <c r="G73" s="47" t="s">
        <v>110</v>
      </c>
      <c r="H73" s="47" t="s">
        <v>1015</v>
      </c>
      <c r="I73" s="47" t="s">
        <v>630</v>
      </c>
      <c r="J73" s="47"/>
      <c r="K73" s="47" t="s">
        <v>1016</v>
      </c>
      <c r="L73" s="47" t="s">
        <v>1017</v>
      </c>
      <c r="M73" s="47"/>
      <c r="N73" s="47" t="str">
        <f t="shared" si="2"/>
        <v>Jul 2026</v>
      </c>
    </row>
    <row r="74" spans="1:14" ht="23.25" customHeight="1" x14ac:dyDescent="0.25">
      <c r="A74" s="47">
        <v>70</v>
      </c>
      <c r="B74" s="70">
        <v>46219</v>
      </c>
      <c r="C74" s="47">
        <v>4</v>
      </c>
      <c r="D74" s="47" t="s">
        <v>995</v>
      </c>
      <c r="E74" s="47" t="s">
        <v>996</v>
      </c>
      <c r="F74" s="47" t="s">
        <v>39</v>
      </c>
      <c r="G74" s="47" t="s">
        <v>112</v>
      </c>
      <c r="H74" s="47" t="s">
        <v>1015</v>
      </c>
      <c r="I74" s="47" t="s">
        <v>630</v>
      </c>
      <c r="J74" s="47"/>
      <c r="K74" s="47" t="s">
        <v>1016</v>
      </c>
      <c r="L74" s="47" t="s">
        <v>1017</v>
      </c>
      <c r="M74" s="47"/>
      <c r="N74" s="47" t="str">
        <f t="shared" si="2"/>
        <v>Jul 2026</v>
      </c>
    </row>
    <row r="75" spans="1:14" ht="23.25" customHeight="1" x14ac:dyDescent="0.25">
      <c r="A75" s="47">
        <v>71</v>
      </c>
      <c r="B75" s="70">
        <v>46219</v>
      </c>
      <c r="C75" s="47">
        <v>5</v>
      </c>
      <c r="D75" s="47" t="s">
        <v>998</v>
      </c>
      <c r="E75" s="47" t="s">
        <v>999</v>
      </c>
      <c r="F75" s="47" t="s">
        <v>42</v>
      </c>
      <c r="G75" s="47" t="s">
        <v>114</v>
      </c>
      <c r="H75" s="47" t="s">
        <v>1015</v>
      </c>
      <c r="I75" s="47" t="s">
        <v>630</v>
      </c>
      <c r="J75" s="47"/>
      <c r="K75" s="47" t="s">
        <v>1016</v>
      </c>
      <c r="L75" s="47" t="s">
        <v>1017</v>
      </c>
      <c r="M75" s="47"/>
      <c r="N75" s="47" t="str">
        <f t="shared" si="2"/>
        <v>Jul 2026</v>
      </c>
    </row>
    <row r="76" spans="1:14" ht="23.25" customHeight="1" x14ac:dyDescent="0.25">
      <c r="A76" s="47">
        <v>72</v>
      </c>
      <c r="B76" s="70">
        <v>46219</v>
      </c>
      <c r="C76" s="47">
        <v>6</v>
      </c>
      <c r="D76" s="47" t="s">
        <v>1000</v>
      </c>
      <c r="E76" s="47" t="s">
        <v>1001</v>
      </c>
      <c r="F76" s="47" t="s">
        <v>44</v>
      </c>
      <c r="G76" s="47" t="s">
        <v>116</v>
      </c>
      <c r="H76" s="47" t="s">
        <v>1015</v>
      </c>
      <c r="I76" s="47" t="s">
        <v>630</v>
      </c>
      <c r="J76" s="47"/>
      <c r="K76" s="47" t="s">
        <v>1016</v>
      </c>
      <c r="L76" s="47" t="s">
        <v>1017</v>
      </c>
      <c r="M76" s="47"/>
      <c r="N76" s="47" t="str">
        <f t="shared" si="2"/>
        <v>Jul 2026</v>
      </c>
    </row>
    <row r="77" spans="1:14" ht="23.25" customHeight="1" x14ac:dyDescent="0.25">
      <c r="A77" s="47">
        <v>73</v>
      </c>
      <c r="B77" s="70">
        <v>46220</v>
      </c>
      <c r="C77" s="47">
        <v>1</v>
      </c>
      <c r="D77" s="47" t="s">
        <v>987</v>
      </c>
      <c r="E77" s="47" t="s">
        <v>988</v>
      </c>
      <c r="F77" s="47" t="s">
        <v>12</v>
      </c>
      <c r="G77" s="47" t="s">
        <v>106</v>
      </c>
      <c r="H77" s="47" t="s">
        <v>1015</v>
      </c>
      <c r="I77" s="47" t="s">
        <v>630</v>
      </c>
      <c r="J77" s="47"/>
      <c r="K77" s="47" t="s">
        <v>1016</v>
      </c>
      <c r="L77" s="47" t="s">
        <v>1017</v>
      </c>
      <c r="M77" s="47"/>
      <c r="N77" s="47" t="str">
        <f t="shared" si="2"/>
        <v>Jul 2026</v>
      </c>
    </row>
    <row r="78" spans="1:14" ht="23.25" customHeight="1" x14ac:dyDescent="0.25">
      <c r="A78" s="47">
        <v>74</v>
      </c>
      <c r="B78" s="70">
        <v>46220</v>
      </c>
      <c r="C78" s="47">
        <v>2</v>
      </c>
      <c r="D78" s="47" t="s">
        <v>990</v>
      </c>
      <c r="E78" s="47" t="s">
        <v>991</v>
      </c>
      <c r="F78" s="47" t="s">
        <v>23</v>
      </c>
      <c r="G78" s="47" t="s">
        <v>108</v>
      </c>
      <c r="H78" s="47" t="s">
        <v>1015</v>
      </c>
      <c r="I78" s="47" t="s">
        <v>631</v>
      </c>
      <c r="J78" s="47" t="s">
        <v>1018</v>
      </c>
      <c r="K78" s="47" t="s">
        <v>1016</v>
      </c>
      <c r="L78" s="47" t="s">
        <v>1017</v>
      </c>
      <c r="M78" s="47"/>
      <c r="N78" s="47" t="str">
        <f t="shared" si="2"/>
        <v>Jul 2026</v>
      </c>
    </row>
    <row r="79" spans="1:14" ht="23.25" customHeight="1" x14ac:dyDescent="0.25">
      <c r="A79" s="47">
        <v>75</v>
      </c>
      <c r="B79" s="70">
        <v>46220</v>
      </c>
      <c r="C79" s="47">
        <v>3</v>
      </c>
      <c r="D79" s="47" t="s">
        <v>259</v>
      </c>
      <c r="E79" s="47" t="s">
        <v>993</v>
      </c>
      <c r="F79" s="47" t="s">
        <v>26</v>
      </c>
      <c r="G79" s="47" t="s">
        <v>110</v>
      </c>
      <c r="H79" s="47" t="s">
        <v>1015</v>
      </c>
      <c r="I79" s="47" t="s">
        <v>630</v>
      </c>
      <c r="J79" s="47"/>
      <c r="K79" s="47" t="s">
        <v>1016</v>
      </c>
      <c r="L79" s="47" t="s">
        <v>1017</v>
      </c>
      <c r="M79" s="47"/>
      <c r="N79" s="47" t="str">
        <f t="shared" si="2"/>
        <v>Jul 2026</v>
      </c>
    </row>
    <row r="80" spans="1:14" ht="23.25" customHeight="1" x14ac:dyDescent="0.25">
      <c r="A80" s="47">
        <v>76</v>
      </c>
      <c r="B80" s="70">
        <v>46220</v>
      </c>
      <c r="C80" s="47">
        <v>4</v>
      </c>
      <c r="D80" s="47" t="s">
        <v>995</v>
      </c>
      <c r="E80" s="47" t="s">
        <v>996</v>
      </c>
      <c r="F80" s="47" t="s">
        <v>39</v>
      </c>
      <c r="G80" s="47" t="s">
        <v>112</v>
      </c>
      <c r="H80" s="47" t="s">
        <v>1015</v>
      </c>
      <c r="I80" s="47" t="s">
        <v>630</v>
      </c>
      <c r="J80" s="47"/>
      <c r="K80" s="47" t="s">
        <v>1016</v>
      </c>
      <c r="L80" s="47" t="s">
        <v>1017</v>
      </c>
      <c r="M80" s="47"/>
      <c r="N80" s="47" t="str">
        <f t="shared" si="2"/>
        <v>Jul 2026</v>
      </c>
    </row>
    <row r="81" spans="1:14" ht="23.25" customHeight="1" x14ac:dyDescent="0.25">
      <c r="A81" s="47">
        <v>77</v>
      </c>
      <c r="B81" s="70">
        <v>46220</v>
      </c>
      <c r="C81" s="47">
        <v>5</v>
      </c>
      <c r="D81" s="47" t="s">
        <v>998</v>
      </c>
      <c r="E81" s="47" t="s">
        <v>999</v>
      </c>
      <c r="F81" s="47" t="s">
        <v>42</v>
      </c>
      <c r="G81" s="47" t="s">
        <v>114</v>
      </c>
      <c r="H81" s="47" t="s">
        <v>1015</v>
      </c>
      <c r="I81" s="47" t="s">
        <v>630</v>
      </c>
      <c r="J81" s="47"/>
      <c r="K81" s="47" t="s">
        <v>1016</v>
      </c>
      <c r="L81" s="47" t="s">
        <v>1017</v>
      </c>
      <c r="M81" s="47"/>
      <c r="N81" s="47" t="str">
        <f t="shared" si="2"/>
        <v>Jul 2026</v>
      </c>
    </row>
    <row r="82" spans="1:14" ht="23.25" customHeight="1" x14ac:dyDescent="0.25">
      <c r="A82" s="47">
        <v>78</v>
      </c>
      <c r="B82" s="70">
        <v>46220</v>
      </c>
      <c r="C82" s="47">
        <v>6</v>
      </c>
      <c r="D82" s="47" t="s">
        <v>1000</v>
      </c>
      <c r="E82" s="47" t="s">
        <v>1001</v>
      </c>
      <c r="F82" s="47" t="s">
        <v>44</v>
      </c>
      <c r="G82" s="47" t="s">
        <v>116</v>
      </c>
      <c r="H82" s="47" t="s">
        <v>1015</v>
      </c>
      <c r="I82" s="47" t="s">
        <v>631</v>
      </c>
      <c r="J82" s="47" t="s">
        <v>1018</v>
      </c>
      <c r="K82" s="47" t="s">
        <v>1016</v>
      </c>
      <c r="L82" s="47" t="s">
        <v>1017</v>
      </c>
      <c r="M82" s="47"/>
      <c r="N82" s="47" t="str">
        <f t="shared" si="2"/>
        <v>Jul 2026</v>
      </c>
    </row>
    <row r="83" spans="1:14" ht="23.25" customHeight="1" x14ac:dyDescent="0.25">
      <c r="A83" s="47">
        <v>79</v>
      </c>
      <c r="B83" s="70">
        <v>46223</v>
      </c>
      <c r="C83" s="47">
        <v>1</v>
      </c>
      <c r="D83" s="47" t="s">
        <v>987</v>
      </c>
      <c r="E83" s="47" t="s">
        <v>988</v>
      </c>
      <c r="F83" s="47" t="s">
        <v>12</v>
      </c>
      <c r="G83" s="47" t="s">
        <v>106</v>
      </c>
      <c r="H83" s="47" t="s">
        <v>1015</v>
      </c>
      <c r="I83" s="47" t="s">
        <v>630</v>
      </c>
      <c r="J83" s="47"/>
      <c r="K83" s="47" t="s">
        <v>1016</v>
      </c>
      <c r="L83" s="47" t="s">
        <v>1017</v>
      </c>
      <c r="M83" s="47"/>
      <c r="N83" s="47" t="str">
        <f t="shared" si="2"/>
        <v>Jul 2026</v>
      </c>
    </row>
    <row r="84" spans="1:14" ht="23.25" customHeight="1" x14ac:dyDescent="0.25">
      <c r="A84" s="47">
        <v>80</v>
      </c>
      <c r="B84" s="70">
        <v>46223</v>
      </c>
      <c r="C84" s="47">
        <v>2</v>
      </c>
      <c r="D84" s="47" t="s">
        <v>990</v>
      </c>
      <c r="E84" s="47" t="s">
        <v>991</v>
      </c>
      <c r="F84" s="47" t="s">
        <v>23</v>
      </c>
      <c r="G84" s="47" t="s">
        <v>108</v>
      </c>
      <c r="H84" s="47" t="s">
        <v>1015</v>
      </c>
      <c r="I84" s="47" t="s">
        <v>630</v>
      </c>
      <c r="J84" s="47"/>
      <c r="K84" s="47" t="s">
        <v>1016</v>
      </c>
      <c r="L84" s="47" t="s">
        <v>1017</v>
      </c>
      <c r="M84" s="47"/>
      <c r="N84" s="47" t="str">
        <f t="shared" si="2"/>
        <v>Jul 2026</v>
      </c>
    </row>
    <row r="85" spans="1:14" ht="23.25" customHeight="1" x14ac:dyDescent="0.25">
      <c r="A85" s="47">
        <v>81</v>
      </c>
      <c r="B85" s="70">
        <v>46223</v>
      </c>
      <c r="C85" s="47">
        <v>3</v>
      </c>
      <c r="D85" s="47" t="s">
        <v>259</v>
      </c>
      <c r="E85" s="47" t="s">
        <v>993</v>
      </c>
      <c r="F85" s="47" t="s">
        <v>26</v>
      </c>
      <c r="G85" s="47" t="s">
        <v>110</v>
      </c>
      <c r="H85" s="47" t="s">
        <v>1015</v>
      </c>
      <c r="I85" s="47" t="s">
        <v>630</v>
      </c>
      <c r="J85" s="47"/>
      <c r="K85" s="47" t="s">
        <v>1016</v>
      </c>
      <c r="L85" s="47" t="s">
        <v>1017</v>
      </c>
      <c r="M85" s="47"/>
      <c r="N85" s="47" t="str">
        <f t="shared" si="2"/>
        <v>Jul 2026</v>
      </c>
    </row>
    <row r="86" spans="1:14" ht="23.25" customHeight="1" x14ac:dyDescent="0.25">
      <c r="A86" s="47">
        <v>82</v>
      </c>
      <c r="B86" s="70">
        <v>46223</v>
      </c>
      <c r="C86" s="47">
        <v>4</v>
      </c>
      <c r="D86" s="47" t="s">
        <v>995</v>
      </c>
      <c r="E86" s="47" t="s">
        <v>996</v>
      </c>
      <c r="F86" s="47" t="s">
        <v>39</v>
      </c>
      <c r="G86" s="47" t="s">
        <v>112</v>
      </c>
      <c r="H86" s="47" t="s">
        <v>1015</v>
      </c>
      <c r="I86" s="47" t="s">
        <v>630</v>
      </c>
      <c r="J86" s="47"/>
      <c r="K86" s="47" t="s">
        <v>1016</v>
      </c>
      <c r="L86" s="47" t="s">
        <v>1017</v>
      </c>
      <c r="M86" s="47"/>
      <c r="N86" s="47" t="str">
        <f t="shared" si="2"/>
        <v>Jul 2026</v>
      </c>
    </row>
    <row r="87" spans="1:14" ht="23.25" customHeight="1" x14ac:dyDescent="0.25">
      <c r="A87" s="47">
        <v>83</v>
      </c>
      <c r="B87" s="70">
        <v>46223</v>
      </c>
      <c r="C87" s="47">
        <v>5</v>
      </c>
      <c r="D87" s="47" t="s">
        <v>998</v>
      </c>
      <c r="E87" s="47" t="s">
        <v>999</v>
      </c>
      <c r="F87" s="47" t="s">
        <v>42</v>
      </c>
      <c r="G87" s="47" t="s">
        <v>114</v>
      </c>
      <c r="H87" s="47" t="s">
        <v>1015</v>
      </c>
      <c r="I87" s="47" t="s">
        <v>630</v>
      </c>
      <c r="J87" s="47"/>
      <c r="K87" s="47" t="s">
        <v>1016</v>
      </c>
      <c r="L87" s="47" t="s">
        <v>1017</v>
      </c>
      <c r="M87" s="47"/>
      <c r="N87" s="47" t="str">
        <f t="shared" si="2"/>
        <v>Jul 2026</v>
      </c>
    </row>
    <row r="88" spans="1:14" ht="23.25" customHeight="1" x14ac:dyDescent="0.25">
      <c r="A88" s="47">
        <v>84</v>
      </c>
      <c r="B88" s="70">
        <v>46223</v>
      </c>
      <c r="C88" s="47">
        <v>6</v>
      </c>
      <c r="D88" s="47" t="s">
        <v>1000</v>
      </c>
      <c r="E88" s="47" t="s">
        <v>1001</v>
      </c>
      <c r="F88" s="47" t="s">
        <v>44</v>
      </c>
      <c r="G88" s="47" t="s">
        <v>116</v>
      </c>
      <c r="H88" s="47" t="s">
        <v>1015</v>
      </c>
      <c r="I88" s="47" t="s">
        <v>630</v>
      </c>
      <c r="J88" s="47"/>
      <c r="K88" s="47" t="s">
        <v>1016</v>
      </c>
      <c r="L88" s="47" t="s">
        <v>1017</v>
      </c>
      <c r="M88" s="47"/>
      <c r="N88" s="47" t="str">
        <f t="shared" si="2"/>
        <v>Jul 2026</v>
      </c>
    </row>
    <row r="89" spans="1:14" ht="15" customHeight="1" x14ac:dyDescent="0.25">
      <c r="A89" s="47"/>
      <c r="B89" s="70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 t="str">
        <f t="shared" ref="N89:N120" si="3">IF(B89="","",TEXT(B89,"mmm yyyy"))</f>
        <v/>
      </c>
    </row>
    <row r="90" spans="1:14" ht="15" customHeight="1" x14ac:dyDescent="0.25">
      <c r="A90" s="47"/>
      <c r="B90" s="70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 t="str">
        <f t="shared" si="3"/>
        <v/>
      </c>
    </row>
    <row r="91" spans="1:14" ht="15" customHeight="1" x14ac:dyDescent="0.25">
      <c r="A91" s="47"/>
      <c r="B91" s="70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 t="str">
        <f t="shared" si="3"/>
        <v/>
      </c>
    </row>
    <row r="92" spans="1:14" ht="15" customHeight="1" x14ac:dyDescent="0.25">
      <c r="A92" s="47"/>
      <c r="B92" s="70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 t="str">
        <f t="shared" si="3"/>
        <v/>
      </c>
    </row>
    <row r="93" spans="1:14" ht="15" customHeight="1" x14ac:dyDescent="0.25">
      <c r="A93" s="47"/>
      <c r="B93" s="70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 t="str">
        <f t="shared" si="3"/>
        <v/>
      </c>
    </row>
    <row r="94" spans="1:14" ht="15" customHeight="1" x14ac:dyDescent="0.25">
      <c r="A94" s="47"/>
      <c r="B94" s="70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 t="str">
        <f t="shared" si="3"/>
        <v/>
      </c>
    </row>
    <row r="95" spans="1:14" ht="15" customHeight="1" x14ac:dyDescent="0.25">
      <c r="A95" s="47"/>
      <c r="B95" s="70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 t="str">
        <f t="shared" si="3"/>
        <v/>
      </c>
    </row>
    <row r="96" spans="1:14" ht="15" customHeight="1" x14ac:dyDescent="0.25">
      <c r="A96" s="47"/>
      <c r="B96" s="70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 t="str">
        <f t="shared" si="3"/>
        <v/>
      </c>
    </row>
    <row r="97" spans="1:14" ht="15" customHeight="1" x14ac:dyDescent="0.25">
      <c r="A97" s="47"/>
      <c r="B97" s="70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 t="str">
        <f t="shared" si="3"/>
        <v/>
      </c>
    </row>
    <row r="98" spans="1:14" ht="15" customHeight="1" x14ac:dyDescent="0.25">
      <c r="A98" s="47"/>
      <c r="B98" s="70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 t="str">
        <f t="shared" si="3"/>
        <v/>
      </c>
    </row>
    <row r="99" spans="1:14" ht="15" customHeight="1" x14ac:dyDescent="0.25">
      <c r="A99" s="47"/>
      <c r="B99" s="70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 t="str">
        <f t="shared" si="3"/>
        <v/>
      </c>
    </row>
    <row r="100" spans="1:14" ht="15" customHeight="1" x14ac:dyDescent="0.25">
      <c r="A100" s="47"/>
      <c r="B100" s="70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 t="str">
        <f t="shared" si="3"/>
        <v/>
      </c>
    </row>
    <row r="101" spans="1:14" ht="15" customHeight="1" x14ac:dyDescent="0.25">
      <c r="A101" s="47"/>
      <c r="B101" s="70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 t="str">
        <f t="shared" si="3"/>
        <v/>
      </c>
    </row>
    <row r="102" spans="1:14" ht="15" customHeight="1" x14ac:dyDescent="0.25">
      <c r="A102" s="47"/>
      <c r="B102" s="70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 t="str">
        <f t="shared" si="3"/>
        <v/>
      </c>
    </row>
    <row r="103" spans="1:14" ht="15" customHeight="1" x14ac:dyDescent="0.25">
      <c r="A103" s="47"/>
      <c r="B103" s="70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 t="str">
        <f t="shared" si="3"/>
        <v/>
      </c>
    </row>
    <row r="104" spans="1:14" ht="15" customHeight="1" x14ac:dyDescent="0.25">
      <c r="A104" s="47"/>
      <c r="B104" s="70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 t="str">
        <f t="shared" si="3"/>
        <v/>
      </c>
    </row>
    <row r="105" spans="1:14" ht="15" customHeight="1" x14ac:dyDescent="0.25">
      <c r="A105" s="47"/>
      <c r="B105" s="70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 t="str">
        <f t="shared" si="3"/>
        <v/>
      </c>
    </row>
    <row r="106" spans="1:14" ht="15" customHeight="1" x14ac:dyDescent="0.25">
      <c r="A106" s="47"/>
      <c r="B106" s="70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 t="str">
        <f t="shared" si="3"/>
        <v/>
      </c>
    </row>
    <row r="107" spans="1:14" ht="15" customHeight="1" x14ac:dyDescent="0.25">
      <c r="A107" s="47"/>
      <c r="B107" s="70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 t="str">
        <f t="shared" si="3"/>
        <v/>
      </c>
    </row>
    <row r="108" spans="1:14" ht="15" customHeight="1" x14ac:dyDescent="0.25">
      <c r="A108" s="47"/>
      <c r="B108" s="70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 t="str">
        <f t="shared" si="3"/>
        <v/>
      </c>
    </row>
    <row r="109" spans="1:14" ht="15" customHeight="1" x14ac:dyDescent="0.25">
      <c r="A109" s="47"/>
      <c r="B109" s="70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 t="str">
        <f t="shared" si="3"/>
        <v/>
      </c>
    </row>
    <row r="110" spans="1:14" ht="15" customHeight="1" x14ac:dyDescent="0.25">
      <c r="A110" s="47"/>
      <c r="B110" s="70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 t="str">
        <f t="shared" si="3"/>
        <v/>
      </c>
    </row>
    <row r="111" spans="1:14" ht="15" customHeight="1" x14ac:dyDescent="0.25">
      <c r="A111" s="47"/>
      <c r="B111" s="70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 t="str">
        <f t="shared" si="3"/>
        <v/>
      </c>
    </row>
    <row r="112" spans="1:14" ht="15" customHeight="1" x14ac:dyDescent="0.25">
      <c r="A112" s="47"/>
      <c r="B112" s="70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 t="str">
        <f t="shared" si="3"/>
        <v/>
      </c>
    </row>
    <row r="113" spans="1:14" ht="15" customHeight="1" x14ac:dyDescent="0.25">
      <c r="A113" s="47"/>
      <c r="B113" s="70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 t="str">
        <f t="shared" si="3"/>
        <v/>
      </c>
    </row>
    <row r="114" spans="1:14" ht="15" customHeight="1" x14ac:dyDescent="0.25">
      <c r="A114" s="47"/>
      <c r="B114" s="70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 t="str">
        <f t="shared" si="3"/>
        <v/>
      </c>
    </row>
    <row r="115" spans="1:14" ht="15" customHeight="1" x14ac:dyDescent="0.25">
      <c r="A115" s="47"/>
      <c r="B115" s="70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 t="str">
        <f t="shared" si="3"/>
        <v/>
      </c>
    </row>
    <row r="116" spans="1:14" ht="15" customHeight="1" x14ac:dyDescent="0.25">
      <c r="A116" s="47"/>
      <c r="B116" s="70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 t="str">
        <f t="shared" si="3"/>
        <v/>
      </c>
    </row>
    <row r="117" spans="1:14" ht="15" customHeight="1" x14ac:dyDescent="0.25">
      <c r="A117" s="47"/>
      <c r="B117" s="70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 t="str">
        <f t="shared" si="3"/>
        <v/>
      </c>
    </row>
    <row r="118" spans="1:14" ht="15" customHeight="1" x14ac:dyDescent="0.25">
      <c r="A118" s="47"/>
      <c r="B118" s="70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 t="str">
        <f t="shared" si="3"/>
        <v/>
      </c>
    </row>
    <row r="119" spans="1:14" ht="15" customHeight="1" x14ac:dyDescent="0.25">
      <c r="A119" s="47"/>
      <c r="B119" s="70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 t="str">
        <f t="shared" si="3"/>
        <v/>
      </c>
    </row>
    <row r="120" spans="1:14" ht="15" customHeight="1" x14ac:dyDescent="0.25">
      <c r="A120" s="47"/>
      <c r="B120" s="70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 t="str">
        <f t="shared" si="3"/>
        <v/>
      </c>
    </row>
    <row r="121" spans="1:14" ht="15" customHeight="1" x14ac:dyDescent="0.25">
      <c r="A121" s="47"/>
      <c r="B121" s="70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 t="str">
        <f t="shared" ref="N121:N152" si="4">IF(B121="","",TEXT(B121,"mmm yyyy"))</f>
        <v/>
      </c>
    </row>
    <row r="122" spans="1:14" ht="15" customHeight="1" x14ac:dyDescent="0.25">
      <c r="A122" s="47"/>
      <c r="B122" s="70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 t="str">
        <f t="shared" si="4"/>
        <v/>
      </c>
    </row>
    <row r="123" spans="1:14" ht="15" customHeight="1" x14ac:dyDescent="0.25">
      <c r="A123" s="47"/>
      <c r="B123" s="70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 t="str">
        <f t="shared" si="4"/>
        <v/>
      </c>
    </row>
    <row r="124" spans="1:14" ht="15" customHeight="1" x14ac:dyDescent="0.25">
      <c r="A124" s="47"/>
      <c r="B124" s="70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 t="str">
        <f t="shared" si="4"/>
        <v/>
      </c>
    </row>
    <row r="125" spans="1:14" ht="15" customHeight="1" x14ac:dyDescent="0.25">
      <c r="A125" s="47"/>
      <c r="B125" s="70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 t="str">
        <f t="shared" si="4"/>
        <v/>
      </c>
    </row>
    <row r="126" spans="1:14" ht="15" customHeight="1" x14ac:dyDescent="0.25">
      <c r="A126" s="47"/>
      <c r="B126" s="70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 t="str">
        <f t="shared" si="4"/>
        <v/>
      </c>
    </row>
    <row r="127" spans="1:14" ht="15" customHeight="1" x14ac:dyDescent="0.25">
      <c r="A127" s="47"/>
      <c r="B127" s="70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 t="str">
        <f t="shared" si="4"/>
        <v/>
      </c>
    </row>
    <row r="128" spans="1:14" ht="15" customHeight="1" x14ac:dyDescent="0.25">
      <c r="A128" s="47"/>
      <c r="B128" s="70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 t="str">
        <f t="shared" si="4"/>
        <v/>
      </c>
    </row>
    <row r="129" spans="1:14" ht="15" customHeight="1" x14ac:dyDescent="0.25">
      <c r="A129" s="47"/>
      <c r="B129" s="70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 t="str">
        <f t="shared" si="4"/>
        <v/>
      </c>
    </row>
    <row r="130" spans="1:14" ht="15" customHeight="1" x14ac:dyDescent="0.25">
      <c r="A130" s="47"/>
      <c r="B130" s="70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 t="str">
        <f t="shared" si="4"/>
        <v/>
      </c>
    </row>
    <row r="131" spans="1:14" ht="15" customHeight="1" x14ac:dyDescent="0.25">
      <c r="A131" s="47"/>
      <c r="B131" s="70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 t="str">
        <f t="shared" si="4"/>
        <v/>
      </c>
    </row>
    <row r="132" spans="1:14" ht="15" customHeight="1" x14ac:dyDescent="0.25">
      <c r="A132" s="47"/>
      <c r="B132" s="70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 t="str">
        <f t="shared" si="4"/>
        <v/>
      </c>
    </row>
    <row r="133" spans="1:14" ht="15" customHeight="1" x14ac:dyDescent="0.25">
      <c r="A133" s="47"/>
      <c r="B133" s="70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 t="str">
        <f t="shared" si="4"/>
        <v/>
      </c>
    </row>
    <row r="134" spans="1:14" ht="15" customHeight="1" x14ac:dyDescent="0.25">
      <c r="A134" s="47"/>
      <c r="B134" s="70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 t="str">
        <f t="shared" si="4"/>
        <v/>
      </c>
    </row>
    <row r="135" spans="1:14" ht="15" customHeight="1" x14ac:dyDescent="0.25">
      <c r="A135" s="47"/>
      <c r="B135" s="70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 t="str">
        <f t="shared" si="4"/>
        <v/>
      </c>
    </row>
    <row r="136" spans="1:14" ht="15" customHeight="1" x14ac:dyDescent="0.25">
      <c r="A136" s="47"/>
      <c r="B136" s="70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 t="str">
        <f t="shared" si="4"/>
        <v/>
      </c>
    </row>
    <row r="137" spans="1:14" ht="15" customHeight="1" x14ac:dyDescent="0.25">
      <c r="A137" s="47"/>
      <c r="B137" s="70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 t="str">
        <f t="shared" si="4"/>
        <v/>
      </c>
    </row>
    <row r="138" spans="1:14" ht="15" customHeight="1" x14ac:dyDescent="0.25">
      <c r="A138" s="47"/>
      <c r="B138" s="70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 t="str">
        <f t="shared" si="4"/>
        <v/>
      </c>
    </row>
    <row r="139" spans="1:14" ht="15" customHeight="1" x14ac:dyDescent="0.25">
      <c r="A139" s="47"/>
      <c r="B139" s="70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 t="str">
        <f t="shared" si="4"/>
        <v/>
      </c>
    </row>
    <row r="140" spans="1:14" ht="15" customHeight="1" x14ac:dyDescent="0.25">
      <c r="A140" s="47"/>
      <c r="B140" s="70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 t="str">
        <f t="shared" si="4"/>
        <v/>
      </c>
    </row>
    <row r="141" spans="1:14" ht="15" customHeight="1" x14ac:dyDescent="0.25">
      <c r="A141" s="47"/>
      <c r="B141" s="70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 t="str">
        <f t="shared" si="4"/>
        <v/>
      </c>
    </row>
    <row r="142" spans="1:14" ht="15" customHeight="1" x14ac:dyDescent="0.25">
      <c r="A142" s="47"/>
      <c r="B142" s="70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 t="str">
        <f t="shared" si="4"/>
        <v/>
      </c>
    </row>
    <row r="143" spans="1:14" ht="15" customHeight="1" x14ac:dyDescent="0.25">
      <c r="A143" s="47"/>
      <c r="B143" s="70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 t="str">
        <f t="shared" si="4"/>
        <v/>
      </c>
    </row>
    <row r="144" spans="1:14" ht="15" customHeight="1" x14ac:dyDescent="0.25">
      <c r="A144" s="47"/>
      <c r="B144" s="70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 t="str">
        <f t="shared" si="4"/>
        <v/>
      </c>
    </row>
    <row r="145" spans="1:14" ht="15" customHeight="1" x14ac:dyDescent="0.25">
      <c r="A145" s="47"/>
      <c r="B145" s="70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 t="str">
        <f t="shared" si="4"/>
        <v/>
      </c>
    </row>
    <row r="146" spans="1:14" ht="15" customHeight="1" x14ac:dyDescent="0.25">
      <c r="A146" s="47"/>
      <c r="B146" s="70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 t="str">
        <f t="shared" si="4"/>
        <v/>
      </c>
    </row>
    <row r="147" spans="1:14" ht="15" customHeight="1" x14ac:dyDescent="0.25">
      <c r="A147" s="47"/>
      <c r="B147" s="70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 t="str">
        <f t="shared" si="4"/>
        <v/>
      </c>
    </row>
    <row r="148" spans="1:14" ht="15" customHeight="1" x14ac:dyDescent="0.25">
      <c r="A148" s="47"/>
      <c r="B148" s="70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 t="str">
        <f t="shared" si="4"/>
        <v/>
      </c>
    </row>
    <row r="149" spans="1:14" ht="15" customHeight="1" x14ac:dyDescent="0.25">
      <c r="A149" s="47"/>
      <c r="B149" s="70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 t="str">
        <f t="shared" si="4"/>
        <v/>
      </c>
    </row>
    <row r="150" spans="1:14" ht="15" customHeight="1" x14ac:dyDescent="0.25">
      <c r="A150" s="47"/>
      <c r="B150" s="70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 t="str">
        <f t="shared" si="4"/>
        <v/>
      </c>
    </row>
    <row r="151" spans="1:14" ht="15" customHeight="1" x14ac:dyDescent="0.25">
      <c r="A151" s="47"/>
      <c r="B151" s="70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 t="str">
        <f t="shared" si="4"/>
        <v/>
      </c>
    </row>
    <row r="152" spans="1:14" ht="15" customHeight="1" x14ac:dyDescent="0.25">
      <c r="A152" s="47"/>
      <c r="B152" s="70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 t="str">
        <f t="shared" si="4"/>
        <v/>
      </c>
    </row>
    <row r="153" spans="1:14" ht="15" customHeight="1" x14ac:dyDescent="0.25">
      <c r="A153" s="47"/>
      <c r="B153" s="70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 t="str">
        <f t="shared" ref="N153:N184" si="5">IF(B153="","",TEXT(B153,"mmm yyyy"))</f>
        <v/>
      </c>
    </row>
    <row r="154" spans="1:14" ht="15" customHeight="1" x14ac:dyDescent="0.25">
      <c r="A154" s="47"/>
      <c r="B154" s="70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 t="str">
        <f t="shared" si="5"/>
        <v/>
      </c>
    </row>
    <row r="155" spans="1:14" ht="15" customHeight="1" x14ac:dyDescent="0.25">
      <c r="A155" s="47"/>
      <c r="B155" s="70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 t="str">
        <f t="shared" si="5"/>
        <v/>
      </c>
    </row>
    <row r="156" spans="1:14" ht="15" customHeight="1" x14ac:dyDescent="0.25">
      <c r="A156" s="47"/>
      <c r="B156" s="70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 t="str">
        <f t="shared" si="5"/>
        <v/>
      </c>
    </row>
    <row r="157" spans="1:14" ht="15" customHeight="1" x14ac:dyDescent="0.25">
      <c r="A157" s="47"/>
      <c r="B157" s="70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 t="str">
        <f t="shared" si="5"/>
        <v/>
      </c>
    </row>
    <row r="158" spans="1:14" ht="15" customHeight="1" x14ac:dyDescent="0.25">
      <c r="A158" s="47"/>
      <c r="B158" s="70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 t="str">
        <f t="shared" si="5"/>
        <v/>
      </c>
    </row>
    <row r="159" spans="1:14" ht="15" customHeight="1" x14ac:dyDescent="0.25">
      <c r="A159" s="47"/>
      <c r="B159" s="70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 t="str">
        <f t="shared" si="5"/>
        <v/>
      </c>
    </row>
    <row r="160" spans="1:14" ht="15" customHeight="1" x14ac:dyDescent="0.25">
      <c r="A160" s="47"/>
      <c r="B160" s="70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 t="str">
        <f t="shared" si="5"/>
        <v/>
      </c>
    </row>
    <row r="161" spans="1:14" ht="15" customHeight="1" x14ac:dyDescent="0.25">
      <c r="A161" s="47"/>
      <c r="B161" s="70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 t="str">
        <f t="shared" si="5"/>
        <v/>
      </c>
    </row>
    <row r="162" spans="1:14" ht="15" customHeight="1" x14ac:dyDescent="0.25">
      <c r="A162" s="47"/>
      <c r="B162" s="70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 t="str">
        <f t="shared" si="5"/>
        <v/>
      </c>
    </row>
    <row r="163" spans="1:14" ht="15" customHeight="1" x14ac:dyDescent="0.25">
      <c r="A163" s="47"/>
      <c r="B163" s="70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 t="str">
        <f t="shared" si="5"/>
        <v/>
      </c>
    </row>
    <row r="164" spans="1:14" ht="15" customHeight="1" x14ac:dyDescent="0.25">
      <c r="A164" s="47"/>
      <c r="B164" s="70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 t="str">
        <f t="shared" si="5"/>
        <v/>
      </c>
    </row>
    <row r="165" spans="1:14" ht="15" customHeight="1" x14ac:dyDescent="0.25">
      <c r="A165" s="47"/>
      <c r="B165" s="70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 t="str">
        <f t="shared" si="5"/>
        <v/>
      </c>
    </row>
    <row r="166" spans="1:14" ht="15" customHeight="1" x14ac:dyDescent="0.25">
      <c r="A166" s="47"/>
      <c r="B166" s="70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 t="str">
        <f t="shared" si="5"/>
        <v/>
      </c>
    </row>
    <row r="167" spans="1:14" ht="15" customHeight="1" x14ac:dyDescent="0.25">
      <c r="A167" s="47"/>
      <c r="B167" s="70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 t="str">
        <f t="shared" si="5"/>
        <v/>
      </c>
    </row>
    <row r="168" spans="1:14" ht="15" customHeight="1" x14ac:dyDescent="0.25">
      <c r="A168" s="47"/>
      <c r="B168" s="70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 t="str">
        <f t="shared" si="5"/>
        <v/>
      </c>
    </row>
    <row r="169" spans="1:14" ht="15" customHeight="1" x14ac:dyDescent="0.25">
      <c r="A169" s="47"/>
      <c r="B169" s="70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 t="str">
        <f t="shared" si="5"/>
        <v/>
      </c>
    </row>
    <row r="170" spans="1:14" ht="15" customHeight="1" x14ac:dyDescent="0.25">
      <c r="A170" s="47"/>
      <c r="B170" s="70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 t="str">
        <f t="shared" si="5"/>
        <v/>
      </c>
    </row>
    <row r="171" spans="1:14" ht="15" customHeight="1" x14ac:dyDescent="0.25">
      <c r="A171" s="47"/>
      <c r="B171" s="70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 t="str">
        <f t="shared" si="5"/>
        <v/>
      </c>
    </row>
    <row r="172" spans="1:14" ht="15" customHeight="1" x14ac:dyDescent="0.25">
      <c r="A172" s="47"/>
      <c r="B172" s="70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 t="str">
        <f t="shared" si="5"/>
        <v/>
      </c>
    </row>
    <row r="173" spans="1:14" ht="15" customHeight="1" x14ac:dyDescent="0.25">
      <c r="A173" s="47"/>
      <c r="B173" s="70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 t="str">
        <f t="shared" si="5"/>
        <v/>
      </c>
    </row>
    <row r="174" spans="1:14" ht="15" customHeight="1" x14ac:dyDescent="0.25">
      <c r="A174" s="47"/>
      <c r="B174" s="70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 t="str">
        <f t="shared" si="5"/>
        <v/>
      </c>
    </row>
    <row r="175" spans="1:14" ht="15" customHeight="1" x14ac:dyDescent="0.25">
      <c r="A175" s="47"/>
      <c r="B175" s="70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 t="str">
        <f t="shared" si="5"/>
        <v/>
      </c>
    </row>
    <row r="176" spans="1:14" ht="15" customHeight="1" x14ac:dyDescent="0.25">
      <c r="A176" s="47"/>
      <c r="B176" s="70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 t="str">
        <f t="shared" si="5"/>
        <v/>
      </c>
    </row>
    <row r="177" spans="1:14" ht="15" customHeight="1" x14ac:dyDescent="0.25">
      <c r="A177" s="47"/>
      <c r="B177" s="70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 t="str">
        <f t="shared" si="5"/>
        <v/>
      </c>
    </row>
    <row r="178" spans="1:14" ht="15" customHeight="1" x14ac:dyDescent="0.25">
      <c r="A178" s="47"/>
      <c r="B178" s="70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 t="str">
        <f t="shared" si="5"/>
        <v/>
      </c>
    </row>
    <row r="179" spans="1:14" ht="15" customHeight="1" x14ac:dyDescent="0.25">
      <c r="A179" s="47"/>
      <c r="B179" s="70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 t="str">
        <f t="shared" si="5"/>
        <v/>
      </c>
    </row>
    <row r="180" spans="1:14" ht="15" customHeight="1" x14ac:dyDescent="0.25">
      <c r="A180" s="47"/>
      <c r="B180" s="70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 t="str">
        <f t="shared" si="5"/>
        <v/>
      </c>
    </row>
    <row r="181" spans="1:14" ht="15" customHeight="1" x14ac:dyDescent="0.25">
      <c r="A181" s="47"/>
      <c r="B181" s="70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 t="str">
        <f t="shared" si="5"/>
        <v/>
      </c>
    </row>
    <row r="182" spans="1:14" ht="15" customHeight="1" x14ac:dyDescent="0.25">
      <c r="A182" s="47"/>
      <c r="B182" s="70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 t="str">
        <f t="shared" si="5"/>
        <v/>
      </c>
    </row>
    <row r="183" spans="1:14" ht="15" customHeight="1" x14ac:dyDescent="0.25">
      <c r="A183" s="47"/>
      <c r="B183" s="70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 t="str">
        <f t="shared" si="5"/>
        <v/>
      </c>
    </row>
    <row r="184" spans="1:14" ht="15" customHeight="1" x14ac:dyDescent="0.25">
      <c r="A184" s="47"/>
      <c r="B184" s="70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 t="str">
        <f t="shared" si="5"/>
        <v/>
      </c>
    </row>
    <row r="185" spans="1:14" ht="15" customHeight="1" x14ac:dyDescent="0.25">
      <c r="A185" s="47"/>
      <c r="B185" s="70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 t="str">
        <f t="shared" ref="N185:N204" si="6">IF(B185="","",TEXT(B185,"mmm yyyy"))</f>
        <v/>
      </c>
    </row>
    <row r="186" spans="1:14" ht="15" customHeight="1" x14ac:dyDescent="0.25">
      <c r="A186" s="47"/>
      <c r="B186" s="70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 t="str">
        <f t="shared" si="6"/>
        <v/>
      </c>
    </row>
    <row r="187" spans="1:14" ht="15" customHeight="1" x14ac:dyDescent="0.25">
      <c r="A187" s="47"/>
      <c r="B187" s="70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 t="str">
        <f t="shared" si="6"/>
        <v/>
      </c>
    </row>
    <row r="188" spans="1:14" ht="15" customHeight="1" x14ac:dyDescent="0.25">
      <c r="A188" s="47"/>
      <c r="B188" s="70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 t="str">
        <f t="shared" si="6"/>
        <v/>
      </c>
    </row>
    <row r="189" spans="1:14" ht="15" customHeight="1" x14ac:dyDescent="0.25">
      <c r="A189" s="47"/>
      <c r="B189" s="70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 t="str">
        <f t="shared" si="6"/>
        <v/>
      </c>
    </row>
    <row r="190" spans="1:14" ht="15" customHeight="1" x14ac:dyDescent="0.25">
      <c r="A190" s="47"/>
      <c r="B190" s="70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 t="str">
        <f t="shared" si="6"/>
        <v/>
      </c>
    </row>
    <row r="191" spans="1:14" ht="15" customHeight="1" x14ac:dyDescent="0.25">
      <c r="A191" s="47"/>
      <c r="B191" s="70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 t="str">
        <f t="shared" si="6"/>
        <v/>
      </c>
    </row>
    <row r="192" spans="1:14" ht="15" customHeight="1" x14ac:dyDescent="0.25">
      <c r="A192" s="47"/>
      <c r="B192" s="70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 t="str">
        <f t="shared" si="6"/>
        <v/>
      </c>
    </row>
    <row r="193" spans="1:14" ht="15" customHeight="1" x14ac:dyDescent="0.25">
      <c r="A193" s="47"/>
      <c r="B193" s="70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 t="str">
        <f t="shared" si="6"/>
        <v/>
      </c>
    </row>
    <row r="194" spans="1:14" ht="15" customHeight="1" x14ac:dyDescent="0.25">
      <c r="A194" s="47"/>
      <c r="B194" s="70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 t="str">
        <f t="shared" si="6"/>
        <v/>
      </c>
    </row>
    <row r="195" spans="1:14" ht="15" customHeight="1" x14ac:dyDescent="0.25">
      <c r="A195" s="47"/>
      <c r="B195" s="70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 t="str">
        <f t="shared" si="6"/>
        <v/>
      </c>
    </row>
    <row r="196" spans="1:14" ht="15" customHeight="1" x14ac:dyDescent="0.25">
      <c r="A196" s="47"/>
      <c r="B196" s="70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 t="str">
        <f t="shared" si="6"/>
        <v/>
      </c>
    </row>
    <row r="197" spans="1:14" ht="15" customHeight="1" x14ac:dyDescent="0.25">
      <c r="A197" s="47"/>
      <c r="B197" s="70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 t="str">
        <f t="shared" si="6"/>
        <v/>
      </c>
    </row>
    <row r="198" spans="1:14" ht="15" customHeight="1" x14ac:dyDescent="0.25">
      <c r="A198" s="47"/>
      <c r="B198" s="70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 t="str">
        <f t="shared" si="6"/>
        <v/>
      </c>
    </row>
    <row r="199" spans="1:14" ht="15" customHeight="1" x14ac:dyDescent="0.25">
      <c r="A199" s="47"/>
      <c r="B199" s="70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 t="str">
        <f t="shared" si="6"/>
        <v/>
      </c>
    </row>
    <row r="200" spans="1:14" ht="15" customHeight="1" x14ac:dyDescent="0.25">
      <c r="A200" s="47"/>
      <c r="B200" s="70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 t="str">
        <f t="shared" si="6"/>
        <v/>
      </c>
    </row>
    <row r="201" spans="1:14" ht="15" customHeight="1" x14ac:dyDescent="0.25">
      <c r="A201" s="47"/>
      <c r="B201" s="70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 t="str">
        <f t="shared" si="6"/>
        <v/>
      </c>
    </row>
    <row r="202" spans="1:14" ht="15" customHeight="1" x14ac:dyDescent="0.25">
      <c r="A202" s="47"/>
      <c r="B202" s="70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 t="str">
        <f t="shared" si="6"/>
        <v/>
      </c>
    </row>
    <row r="203" spans="1:14" ht="15" customHeight="1" x14ac:dyDescent="0.25">
      <c r="A203" s="47"/>
      <c r="B203" s="70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 t="str">
        <f t="shared" si="6"/>
        <v/>
      </c>
    </row>
    <row r="204" spans="1:14" ht="15" customHeight="1" x14ac:dyDescent="0.25">
      <c r="A204" s="47"/>
      <c r="B204" s="70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 t="str">
        <f t="shared" si="6"/>
        <v/>
      </c>
    </row>
  </sheetData>
  <mergeCells count="1">
    <mergeCell ref="A1:N2"/>
  </mergeCells>
  <conditionalFormatting sqref="I5:I204">
    <cfRule type="expression" dxfId="9" priority="2">
      <formula>$I5="Yes"</formula>
    </cfRule>
    <cfRule type="expression" dxfId="8" priority="3">
      <formula>$I5="No"</formula>
    </cfRule>
  </conditionalFormatting>
  <dataValidations count="1">
    <dataValidation type="list" allowBlank="1" sqref="I5:I500" xr:uid="{00000000-0002-0000-1100-000000000000}">
      <formula1>"Yes,No"</formula1>
      <formula2>0</formula2>
    </dataValidation>
  </dataValidations>
  <pageMargins left="0.25" right="0.25" top="0.4" bottom="0.4" header="0.511811023622047" footer="0.511811023622047"/>
  <pageSetup paperSize="9" orientation="landscape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6" customWidth="1"/>
    <col min="3" max="3" width="24" customWidth="1"/>
    <col min="4" max="4" width="10" customWidth="1"/>
    <col min="5" max="5" width="14" customWidth="1"/>
    <col min="6" max="8" width="12" customWidth="1"/>
    <col min="9" max="10" width="14" customWidth="1"/>
    <col min="11" max="12" width="18" customWidth="1"/>
    <col min="13" max="13" width="14" customWidth="1"/>
    <col min="14" max="14" width="20" customWidth="1"/>
    <col min="15" max="15" width="12" customWidth="1"/>
    <col min="16" max="16" width="14" customWidth="1"/>
    <col min="17" max="17" width="22" customWidth="1"/>
    <col min="18" max="18" width="14" customWidth="1"/>
  </cols>
  <sheetData>
    <row r="1" spans="1:18" ht="15" customHeight="1" x14ac:dyDescent="0.25">
      <c r="A1" s="127" t="s">
        <v>1019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</row>
    <row r="2" spans="1:18" ht="15" customHeight="1" x14ac:dyDescent="0.2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</row>
    <row r="4" spans="1:18" ht="23.25" customHeight="1" x14ac:dyDescent="0.25">
      <c r="A4" s="71" t="s">
        <v>1020</v>
      </c>
      <c r="B4" s="71" t="s">
        <v>968</v>
      </c>
      <c r="C4" s="71" t="s">
        <v>1021</v>
      </c>
      <c r="D4" s="71" t="s">
        <v>1022</v>
      </c>
      <c r="E4" s="71" t="s">
        <v>1023</v>
      </c>
      <c r="F4" s="71" t="s">
        <v>1024</v>
      </c>
      <c r="G4" s="71" t="s">
        <v>1025</v>
      </c>
      <c r="H4" s="71" t="s">
        <v>1026</v>
      </c>
      <c r="I4" s="71" t="s">
        <v>1027</v>
      </c>
      <c r="J4" s="71" t="s">
        <v>56</v>
      </c>
      <c r="K4" s="71" t="s">
        <v>1028</v>
      </c>
      <c r="L4" s="71" t="s">
        <v>1029</v>
      </c>
      <c r="M4" s="71" t="s">
        <v>135</v>
      </c>
      <c r="N4" s="71" t="s">
        <v>1030</v>
      </c>
      <c r="O4" s="71" t="s">
        <v>1031</v>
      </c>
      <c r="P4" s="71" t="s">
        <v>1032</v>
      </c>
      <c r="Q4" s="71" t="s">
        <v>59</v>
      </c>
      <c r="R4" s="71" t="s">
        <v>1033</v>
      </c>
    </row>
    <row r="5" spans="1:18" ht="15" customHeight="1" x14ac:dyDescent="0.25">
      <c r="A5" s="47">
        <v>1</v>
      </c>
      <c r="B5" s="47" t="s">
        <v>1034</v>
      </c>
      <c r="C5" s="47" t="s">
        <v>1035</v>
      </c>
      <c r="D5" s="47" t="s">
        <v>1036</v>
      </c>
      <c r="E5" s="47">
        <v>50</v>
      </c>
      <c r="F5" s="47">
        <v>100</v>
      </c>
      <c r="G5" s="47">
        <v>60</v>
      </c>
      <c r="H5" s="47">
        <f t="shared" ref="H5:H36" si="0">IF(A5="","",E5+F5-G5)</f>
        <v>90</v>
      </c>
      <c r="I5" s="47">
        <v>30</v>
      </c>
      <c r="J5" s="47" t="str">
        <f t="shared" ref="J5:J36" si="1">IF(A5="","",IF(H5&lt;=0,"Out of Stock",IF(H5&lt;=I5,"Reorder","Available")))</f>
        <v>Available</v>
      </c>
      <c r="K5" s="47" t="s">
        <v>1037</v>
      </c>
      <c r="L5" s="47" t="s">
        <v>1016</v>
      </c>
      <c r="M5" s="70">
        <v>46230</v>
      </c>
      <c r="N5" s="47" t="s">
        <v>1038</v>
      </c>
      <c r="O5" s="103">
        <v>55</v>
      </c>
      <c r="P5" s="103">
        <f t="shared" ref="P5:P36" si="2">IF(A5="","",H5*O5)</f>
        <v>4950</v>
      </c>
      <c r="Q5" s="47"/>
      <c r="R5" s="47" t="s">
        <v>1039</v>
      </c>
    </row>
    <row r="6" spans="1:18" ht="15" customHeight="1" x14ac:dyDescent="0.25">
      <c r="A6" s="47">
        <v>2</v>
      </c>
      <c r="B6" s="47" t="s">
        <v>1034</v>
      </c>
      <c r="C6" s="47" t="s">
        <v>1040</v>
      </c>
      <c r="D6" s="47" t="s">
        <v>1041</v>
      </c>
      <c r="E6" s="47">
        <v>10</v>
      </c>
      <c r="F6" s="47">
        <v>20</v>
      </c>
      <c r="G6" s="47">
        <v>15</v>
      </c>
      <c r="H6" s="47">
        <f t="shared" si="0"/>
        <v>15</v>
      </c>
      <c r="I6" s="47">
        <v>5</v>
      </c>
      <c r="J6" s="47" t="str">
        <f t="shared" si="1"/>
        <v>Available</v>
      </c>
      <c r="K6" s="47" t="s">
        <v>1037</v>
      </c>
      <c r="L6" s="47" t="s">
        <v>1016</v>
      </c>
      <c r="M6" s="70">
        <v>46230</v>
      </c>
      <c r="N6" s="47" t="s">
        <v>1042</v>
      </c>
      <c r="O6" s="103">
        <v>250</v>
      </c>
      <c r="P6" s="103">
        <f t="shared" si="2"/>
        <v>3750</v>
      </c>
      <c r="Q6" s="47"/>
      <c r="R6" s="47" t="s">
        <v>1039</v>
      </c>
    </row>
    <row r="7" spans="1:18" ht="15" customHeight="1" x14ac:dyDescent="0.25">
      <c r="A7" s="47">
        <v>3</v>
      </c>
      <c r="B7" s="47" t="s">
        <v>1034</v>
      </c>
      <c r="C7" s="47" t="s">
        <v>1043</v>
      </c>
      <c r="D7" s="47" t="s">
        <v>1036</v>
      </c>
      <c r="E7" s="47">
        <v>15</v>
      </c>
      <c r="F7" s="47">
        <v>40</v>
      </c>
      <c r="G7" s="47">
        <v>35</v>
      </c>
      <c r="H7" s="47">
        <f t="shared" si="0"/>
        <v>20</v>
      </c>
      <c r="I7" s="47">
        <v>10</v>
      </c>
      <c r="J7" s="47" t="str">
        <f t="shared" si="1"/>
        <v>Available</v>
      </c>
      <c r="K7" s="47" t="s">
        <v>1037</v>
      </c>
      <c r="L7" s="47" t="s">
        <v>1016</v>
      </c>
      <c r="M7" s="70">
        <v>46230</v>
      </c>
      <c r="N7" s="47" t="s">
        <v>1044</v>
      </c>
      <c r="O7" s="103">
        <v>80</v>
      </c>
      <c r="P7" s="103">
        <f t="shared" si="2"/>
        <v>1600</v>
      </c>
      <c r="Q7" s="47"/>
      <c r="R7" s="47" t="s">
        <v>1039</v>
      </c>
    </row>
    <row r="8" spans="1:18" ht="15" customHeight="1" x14ac:dyDescent="0.25">
      <c r="A8" s="47">
        <v>4</v>
      </c>
      <c r="B8" s="47" t="s">
        <v>1045</v>
      </c>
      <c r="C8" s="47" t="s">
        <v>1046</v>
      </c>
      <c r="D8" s="47" t="s">
        <v>1047</v>
      </c>
      <c r="E8" s="47">
        <v>130</v>
      </c>
      <c r="F8" s="47">
        <v>0</v>
      </c>
      <c r="G8" s="47">
        <v>10</v>
      </c>
      <c r="H8" s="47">
        <f t="shared" si="0"/>
        <v>120</v>
      </c>
      <c r="I8" s="47">
        <v>30</v>
      </c>
      <c r="J8" s="47" t="str">
        <f t="shared" si="1"/>
        <v>Available</v>
      </c>
      <c r="K8" s="47" t="s">
        <v>1037</v>
      </c>
      <c r="L8" s="47" t="s">
        <v>1016</v>
      </c>
      <c r="M8" s="70">
        <v>46230</v>
      </c>
      <c r="N8" s="47" t="s">
        <v>1048</v>
      </c>
      <c r="O8" s="103">
        <v>20</v>
      </c>
      <c r="P8" s="103">
        <f t="shared" si="2"/>
        <v>2400</v>
      </c>
      <c r="Q8" s="47"/>
      <c r="R8" s="47" t="s">
        <v>1039</v>
      </c>
    </row>
    <row r="9" spans="1:18" ht="15" customHeight="1" x14ac:dyDescent="0.25">
      <c r="A9" s="47">
        <v>5</v>
      </c>
      <c r="B9" s="47" t="s">
        <v>1049</v>
      </c>
      <c r="C9" s="47" t="s">
        <v>1050</v>
      </c>
      <c r="D9" s="47" t="s">
        <v>1051</v>
      </c>
      <c r="E9" s="47">
        <v>8</v>
      </c>
      <c r="F9" s="47">
        <v>10</v>
      </c>
      <c r="G9" s="47">
        <v>6</v>
      </c>
      <c r="H9" s="47">
        <f t="shared" si="0"/>
        <v>12</v>
      </c>
      <c r="I9" s="47">
        <v>5</v>
      </c>
      <c r="J9" s="47" t="str">
        <f t="shared" si="1"/>
        <v>Available</v>
      </c>
      <c r="K9" s="47" t="s">
        <v>1052</v>
      </c>
      <c r="L9" s="47" t="s">
        <v>638</v>
      </c>
      <c r="M9" s="70">
        <v>46230</v>
      </c>
      <c r="N9" s="47" t="s">
        <v>1053</v>
      </c>
      <c r="O9" s="103">
        <v>280</v>
      </c>
      <c r="P9" s="103">
        <f t="shared" si="2"/>
        <v>3360</v>
      </c>
      <c r="Q9" s="47"/>
      <c r="R9" s="47" t="s">
        <v>1054</v>
      </c>
    </row>
    <row r="10" spans="1:18" ht="15" customHeight="1" x14ac:dyDescent="0.25">
      <c r="A10" s="47">
        <v>6</v>
      </c>
      <c r="B10" s="47" t="s">
        <v>1055</v>
      </c>
      <c r="C10" s="47" t="s">
        <v>1056</v>
      </c>
      <c r="D10" s="47" t="s">
        <v>1057</v>
      </c>
      <c r="E10" s="47">
        <v>4</v>
      </c>
      <c r="F10" s="47">
        <v>2</v>
      </c>
      <c r="G10" s="47">
        <v>3</v>
      </c>
      <c r="H10" s="47">
        <f t="shared" si="0"/>
        <v>3</v>
      </c>
      <c r="I10" s="47">
        <v>2</v>
      </c>
      <c r="J10" s="47" t="str">
        <f t="shared" si="1"/>
        <v>Available</v>
      </c>
      <c r="K10" s="47" t="s">
        <v>1052</v>
      </c>
      <c r="L10" s="47" t="s">
        <v>638</v>
      </c>
      <c r="M10" s="70">
        <v>46230</v>
      </c>
      <c r="N10" s="47" t="s">
        <v>1053</v>
      </c>
      <c r="O10" s="103">
        <v>350</v>
      </c>
      <c r="P10" s="103">
        <f t="shared" si="2"/>
        <v>1050</v>
      </c>
      <c r="Q10" s="47"/>
      <c r="R10" s="47" t="s">
        <v>1054</v>
      </c>
    </row>
    <row r="11" spans="1:18" ht="15" customHeight="1" x14ac:dyDescent="0.25">
      <c r="A11" s="47"/>
      <c r="B11" s="47"/>
      <c r="C11" s="47"/>
      <c r="D11" s="47"/>
      <c r="E11" s="47"/>
      <c r="F11" s="47"/>
      <c r="G11" s="47"/>
      <c r="H11" s="47" t="str">
        <f t="shared" si="0"/>
        <v/>
      </c>
      <c r="I11" s="47"/>
      <c r="J11" s="47" t="str">
        <f t="shared" si="1"/>
        <v/>
      </c>
      <c r="K11" s="47"/>
      <c r="L11" s="47"/>
      <c r="M11" s="70"/>
      <c r="N11" s="47"/>
      <c r="O11" s="103"/>
      <c r="P11" s="103" t="str">
        <f t="shared" si="2"/>
        <v/>
      </c>
      <c r="Q11" s="47"/>
      <c r="R11" s="47"/>
    </row>
    <row r="12" spans="1:18" ht="15" customHeight="1" x14ac:dyDescent="0.25">
      <c r="A12" s="47"/>
      <c r="B12" s="47"/>
      <c r="C12" s="47"/>
      <c r="D12" s="47"/>
      <c r="E12" s="47"/>
      <c r="F12" s="47"/>
      <c r="G12" s="47"/>
      <c r="H12" s="47" t="str">
        <f t="shared" si="0"/>
        <v/>
      </c>
      <c r="I12" s="47"/>
      <c r="J12" s="47" t="str">
        <f t="shared" si="1"/>
        <v/>
      </c>
      <c r="K12" s="47"/>
      <c r="L12" s="47"/>
      <c r="M12" s="70"/>
      <c r="N12" s="47"/>
      <c r="O12" s="103"/>
      <c r="P12" s="103" t="str">
        <f t="shared" si="2"/>
        <v/>
      </c>
      <c r="Q12" s="47"/>
      <c r="R12" s="47"/>
    </row>
    <row r="13" spans="1:18" ht="15" customHeight="1" x14ac:dyDescent="0.25">
      <c r="A13" s="47"/>
      <c r="B13" s="47"/>
      <c r="C13" s="47"/>
      <c r="D13" s="47"/>
      <c r="E13" s="47"/>
      <c r="F13" s="47"/>
      <c r="G13" s="47"/>
      <c r="H13" s="47" t="str">
        <f t="shared" si="0"/>
        <v/>
      </c>
      <c r="I13" s="47"/>
      <c r="J13" s="47" t="str">
        <f t="shared" si="1"/>
        <v/>
      </c>
      <c r="K13" s="47"/>
      <c r="L13" s="47"/>
      <c r="M13" s="70"/>
      <c r="N13" s="47"/>
      <c r="O13" s="103"/>
      <c r="P13" s="103" t="str">
        <f t="shared" si="2"/>
        <v/>
      </c>
      <c r="Q13" s="47"/>
      <c r="R13" s="47"/>
    </row>
    <row r="14" spans="1:18" ht="15" customHeight="1" x14ac:dyDescent="0.25">
      <c r="A14" s="47"/>
      <c r="B14" s="47"/>
      <c r="C14" s="47"/>
      <c r="D14" s="47"/>
      <c r="E14" s="47"/>
      <c r="F14" s="47"/>
      <c r="G14" s="47"/>
      <c r="H14" s="47" t="str">
        <f t="shared" si="0"/>
        <v/>
      </c>
      <c r="I14" s="47"/>
      <c r="J14" s="47" t="str">
        <f t="shared" si="1"/>
        <v/>
      </c>
      <c r="K14" s="47"/>
      <c r="L14" s="47"/>
      <c r="M14" s="70"/>
      <c r="N14" s="47"/>
      <c r="O14" s="103"/>
      <c r="P14" s="103" t="str">
        <f t="shared" si="2"/>
        <v/>
      </c>
      <c r="Q14" s="47"/>
      <c r="R14" s="47"/>
    </row>
    <row r="15" spans="1:18" ht="15" customHeight="1" x14ac:dyDescent="0.25">
      <c r="A15" s="47"/>
      <c r="B15" s="47"/>
      <c r="C15" s="47"/>
      <c r="D15" s="47"/>
      <c r="E15" s="47"/>
      <c r="F15" s="47"/>
      <c r="G15" s="47"/>
      <c r="H15" s="47" t="str">
        <f t="shared" si="0"/>
        <v/>
      </c>
      <c r="I15" s="47"/>
      <c r="J15" s="47" t="str">
        <f t="shared" si="1"/>
        <v/>
      </c>
      <c r="K15" s="47"/>
      <c r="L15" s="47"/>
      <c r="M15" s="70"/>
      <c r="N15" s="47"/>
      <c r="O15" s="103"/>
      <c r="P15" s="103" t="str">
        <f t="shared" si="2"/>
        <v/>
      </c>
      <c r="Q15" s="47"/>
      <c r="R15" s="47"/>
    </row>
    <row r="16" spans="1:18" ht="15" customHeight="1" x14ac:dyDescent="0.25">
      <c r="A16" s="47"/>
      <c r="B16" s="47"/>
      <c r="C16" s="47"/>
      <c r="D16" s="47"/>
      <c r="E16" s="47"/>
      <c r="F16" s="47"/>
      <c r="G16" s="47"/>
      <c r="H16" s="47" t="str">
        <f t="shared" si="0"/>
        <v/>
      </c>
      <c r="I16" s="47"/>
      <c r="J16" s="47" t="str">
        <f t="shared" si="1"/>
        <v/>
      </c>
      <c r="K16" s="47"/>
      <c r="L16" s="47"/>
      <c r="M16" s="70"/>
      <c r="N16" s="47"/>
      <c r="O16" s="103"/>
      <c r="P16" s="103" t="str">
        <f t="shared" si="2"/>
        <v/>
      </c>
      <c r="Q16" s="47"/>
      <c r="R16" s="47"/>
    </row>
    <row r="17" spans="1:18" ht="15" customHeight="1" x14ac:dyDescent="0.25">
      <c r="A17" s="47"/>
      <c r="B17" s="47"/>
      <c r="C17" s="47"/>
      <c r="D17" s="47"/>
      <c r="E17" s="47"/>
      <c r="F17" s="47"/>
      <c r="G17" s="47"/>
      <c r="H17" s="47" t="str">
        <f t="shared" si="0"/>
        <v/>
      </c>
      <c r="I17" s="47"/>
      <c r="J17" s="47" t="str">
        <f t="shared" si="1"/>
        <v/>
      </c>
      <c r="K17" s="47"/>
      <c r="L17" s="47"/>
      <c r="M17" s="70"/>
      <c r="N17" s="47"/>
      <c r="O17" s="103"/>
      <c r="P17" s="103" t="str">
        <f t="shared" si="2"/>
        <v/>
      </c>
      <c r="Q17" s="47"/>
      <c r="R17" s="47"/>
    </row>
    <row r="18" spans="1:18" ht="15" customHeight="1" x14ac:dyDescent="0.25">
      <c r="A18" s="47"/>
      <c r="B18" s="47"/>
      <c r="C18" s="47"/>
      <c r="D18" s="47"/>
      <c r="E18" s="47"/>
      <c r="F18" s="47"/>
      <c r="G18" s="47"/>
      <c r="H18" s="47" t="str">
        <f t="shared" si="0"/>
        <v/>
      </c>
      <c r="I18" s="47"/>
      <c r="J18" s="47" t="str">
        <f t="shared" si="1"/>
        <v/>
      </c>
      <c r="K18" s="47"/>
      <c r="L18" s="47"/>
      <c r="M18" s="70"/>
      <c r="N18" s="47"/>
      <c r="O18" s="103"/>
      <c r="P18" s="103" t="str">
        <f t="shared" si="2"/>
        <v/>
      </c>
      <c r="Q18" s="47"/>
      <c r="R18" s="47"/>
    </row>
    <row r="19" spans="1:18" ht="15" customHeight="1" x14ac:dyDescent="0.25">
      <c r="A19" s="47"/>
      <c r="B19" s="47"/>
      <c r="C19" s="47"/>
      <c r="D19" s="47"/>
      <c r="E19" s="47"/>
      <c r="F19" s="47"/>
      <c r="G19" s="47"/>
      <c r="H19" s="47" t="str">
        <f t="shared" si="0"/>
        <v/>
      </c>
      <c r="I19" s="47"/>
      <c r="J19" s="47" t="str">
        <f t="shared" si="1"/>
        <v/>
      </c>
      <c r="K19" s="47"/>
      <c r="L19" s="47"/>
      <c r="M19" s="70"/>
      <c r="N19" s="47"/>
      <c r="O19" s="103"/>
      <c r="P19" s="103" t="str">
        <f t="shared" si="2"/>
        <v/>
      </c>
      <c r="Q19" s="47"/>
      <c r="R19" s="47"/>
    </row>
    <row r="20" spans="1:18" ht="15" customHeight="1" x14ac:dyDescent="0.25">
      <c r="A20" s="47"/>
      <c r="B20" s="47"/>
      <c r="C20" s="47"/>
      <c r="D20" s="47"/>
      <c r="E20" s="47"/>
      <c r="F20" s="47"/>
      <c r="G20" s="47"/>
      <c r="H20" s="47" t="str">
        <f t="shared" si="0"/>
        <v/>
      </c>
      <c r="I20" s="47"/>
      <c r="J20" s="47" t="str">
        <f t="shared" si="1"/>
        <v/>
      </c>
      <c r="K20" s="47"/>
      <c r="L20" s="47"/>
      <c r="M20" s="70"/>
      <c r="N20" s="47"/>
      <c r="O20" s="103"/>
      <c r="P20" s="103" t="str">
        <f t="shared" si="2"/>
        <v/>
      </c>
      <c r="Q20" s="47"/>
      <c r="R20" s="47"/>
    </row>
    <row r="21" spans="1:18" ht="15" customHeight="1" x14ac:dyDescent="0.25">
      <c r="A21" s="47"/>
      <c r="B21" s="47"/>
      <c r="C21" s="47"/>
      <c r="D21" s="47"/>
      <c r="E21" s="47"/>
      <c r="F21" s="47"/>
      <c r="G21" s="47"/>
      <c r="H21" s="47" t="str">
        <f t="shared" si="0"/>
        <v/>
      </c>
      <c r="I21" s="47"/>
      <c r="J21" s="47" t="str">
        <f t="shared" si="1"/>
        <v/>
      </c>
      <c r="K21" s="47"/>
      <c r="L21" s="47"/>
      <c r="M21" s="70"/>
      <c r="N21" s="47"/>
      <c r="O21" s="103"/>
      <c r="P21" s="103" t="str">
        <f t="shared" si="2"/>
        <v/>
      </c>
      <c r="Q21" s="47"/>
      <c r="R21" s="47"/>
    </row>
    <row r="22" spans="1:18" ht="15" customHeight="1" x14ac:dyDescent="0.25">
      <c r="A22" s="47"/>
      <c r="B22" s="47"/>
      <c r="C22" s="47"/>
      <c r="D22" s="47"/>
      <c r="E22" s="47"/>
      <c r="F22" s="47"/>
      <c r="G22" s="47"/>
      <c r="H22" s="47" t="str">
        <f t="shared" si="0"/>
        <v/>
      </c>
      <c r="I22" s="47"/>
      <c r="J22" s="47" t="str">
        <f t="shared" si="1"/>
        <v/>
      </c>
      <c r="K22" s="47"/>
      <c r="L22" s="47"/>
      <c r="M22" s="70"/>
      <c r="N22" s="47"/>
      <c r="O22" s="103"/>
      <c r="P22" s="103" t="str">
        <f t="shared" si="2"/>
        <v/>
      </c>
      <c r="Q22" s="47"/>
      <c r="R22" s="47"/>
    </row>
    <row r="23" spans="1:18" ht="15" customHeight="1" x14ac:dyDescent="0.25">
      <c r="A23" s="47"/>
      <c r="B23" s="47"/>
      <c r="C23" s="47"/>
      <c r="D23" s="47"/>
      <c r="E23" s="47"/>
      <c r="F23" s="47"/>
      <c r="G23" s="47"/>
      <c r="H23" s="47" t="str">
        <f t="shared" si="0"/>
        <v/>
      </c>
      <c r="I23" s="47"/>
      <c r="J23" s="47" t="str">
        <f t="shared" si="1"/>
        <v/>
      </c>
      <c r="K23" s="47"/>
      <c r="L23" s="47"/>
      <c r="M23" s="70"/>
      <c r="N23" s="47"/>
      <c r="O23" s="103"/>
      <c r="P23" s="103" t="str">
        <f t="shared" si="2"/>
        <v/>
      </c>
      <c r="Q23" s="47"/>
      <c r="R23" s="47"/>
    </row>
    <row r="24" spans="1:18" ht="15" customHeight="1" x14ac:dyDescent="0.25">
      <c r="A24" s="47"/>
      <c r="B24" s="47"/>
      <c r="C24" s="47"/>
      <c r="D24" s="47"/>
      <c r="E24" s="47"/>
      <c r="F24" s="47"/>
      <c r="G24" s="47"/>
      <c r="H24" s="47" t="str">
        <f t="shared" si="0"/>
        <v/>
      </c>
      <c r="I24" s="47"/>
      <c r="J24" s="47" t="str">
        <f t="shared" si="1"/>
        <v/>
      </c>
      <c r="K24" s="47"/>
      <c r="L24" s="47"/>
      <c r="M24" s="70"/>
      <c r="N24" s="47"/>
      <c r="O24" s="103"/>
      <c r="P24" s="103" t="str">
        <f t="shared" si="2"/>
        <v/>
      </c>
      <c r="Q24" s="47"/>
      <c r="R24" s="47"/>
    </row>
    <row r="25" spans="1:18" ht="15" customHeight="1" x14ac:dyDescent="0.25">
      <c r="A25" s="47"/>
      <c r="B25" s="47"/>
      <c r="C25" s="47"/>
      <c r="D25" s="47"/>
      <c r="E25" s="47"/>
      <c r="F25" s="47"/>
      <c r="G25" s="47"/>
      <c r="H25" s="47" t="str">
        <f t="shared" si="0"/>
        <v/>
      </c>
      <c r="I25" s="47"/>
      <c r="J25" s="47" t="str">
        <f t="shared" si="1"/>
        <v/>
      </c>
      <c r="K25" s="47"/>
      <c r="L25" s="47"/>
      <c r="M25" s="70"/>
      <c r="N25" s="47"/>
      <c r="O25" s="103"/>
      <c r="P25" s="103" t="str">
        <f t="shared" si="2"/>
        <v/>
      </c>
      <c r="Q25" s="47"/>
      <c r="R25" s="47"/>
    </row>
    <row r="26" spans="1:18" ht="15" customHeight="1" x14ac:dyDescent="0.25">
      <c r="A26" s="47"/>
      <c r="B26" s="47"/>
      <c r="C26" s="47"/>
      <c r="D26" s="47"/>
      <c r="E26" s="47"/>
      <c r="F26" s="47"/>
      <c r="G26" s="47"/>
      <c r="H26" s="47" t="str">
        <f t="shared" si="0"/>
        <v/>
      </c>
      <c r="I26" s="47"/>
      <c r="J26" s="47" t="str">
        <f t="shared" si="1"/>
        <v/>
      </c>
      <c r="K26" s="47"/>
      <c r="L26" s="47"/>
      <c r="M26" s="70"/>
      <c r="N26" s="47"/>
      <c r="O26" s="103"/>
      <c r="P26" s="103" t="str">
        <f t="shared" si="2"/>
        <v/>
      </c>
      <c r="Q26" s="47"/>
      <c r="R26" s="47"/>
    </row>
    <row r="27" spans="1:18" ht="15" customHeight="1" x14ac:dyDescent="0.25">
      <c r="A27" s="47"/>
      <c r="B27" s="47"/>
      <c r="C27" s="47"/>
      <c r="D27" s="47"/>
      <c r="E27" s="47"/>
      <c r="F27" s="47"/>
      <c r="G27" s="47"/>
      <c r="H27" s="47" t="str">
        <f t="shared" si="0"/>
        <v/>
      </c>
      <c r="I27" s="47"/>
      <c r="J27" s="47" t="str">
        <f t="shared" si="1"/>
        <v/>
      </c>
      <c r="K27" s="47"/>
      <c r="L27" s="47"/>
      <c r="M27" s="70"/>
      <c r="N27" s="47"/>
      <c r="O27" s="103"/>
      <c r="P27" s="103" t="str">
        <f t="shared" si="2"/>
        <v/>
      </c>
      <c r="Q27" s="47"/>
      <c r="R27" s="47"/>
    </row>
    <row r="28" spans="1:18" ht="15" customHeight="1" x14ac:dyDescent="0.25">
      <c r="A28" s="47"/>
      <c r="B28" s="47"/>
      <c r="C28" s="47"/>
      <c r="D28" s="47"/>
      <c r="E28" s="47"/>
      <c r="F28" s="47"/>
      <c r="G28" s="47"/>
      <c r="H28" s="47" t="str">
        <f t="shared" si="0"/>
        <v/>
      </c>
      <c r="I28" s="47"/>
      <c r="J28" s="47" t="str">
        <f t="shared" si="1"/>
        <v/>
      </c>
      <c r="K28" s="47"/>
      <c r="L28" s="47"/>
      <c r="M28" s="70"/>
      <c r="N28" s="47"/>
      <c r="O28" s="103"/>
      <c r="P28" s="103" t="str">
        <f t="shared" si="2"/>
        <v/>
      </c>
      <c r="Q28" s="47"/>
      <c r="R28" s="47"/>
    </row>
    <row r="29" spans="1:18" ht="15" customHeight="1" x14ac:dyDescent="0.25">
      <c r="A29" s="47"/>
      <c r="B29" s="47"/>
      <c r="C29" s="47"/>
      <c r="D29" s="47"/>
      <c r="E29" s="47"/>
      <c r="F29" s="47"/>
      <c r="G29" s="47"/>
      <c r="H29" s="47" t="str">
        <f t="shared" si="0"/>
        <v/>
      </c>
      <c r="I29" s="47"/>
      <c r="J29" s="47" t="str">
        <f t="shared" si="1"/>
        <v/>
      </c>
      <c r="K29" s="47"/>
      <c r="L29" s="47"/>
      <c r="M29" s="70"/>
      <c r="N29" s="47"/>
      <c r="O29" s="103"/>
      <c r="P29" s="103" t="str">
        <f t="shared" si="2"/>
        <v/>
      </c>
      <c r="Q29" s="47"/>
      <c r="R29" s="47"/>
    </row>
    <row r="30" spans="1:18" ht="15" customHeight="1" x14ac:dyDescent="0.25">
      <c r="A30" s="47"/>
      <c r="B30" s="47"/>
      <c r="C30" s="47"/>
      <c r="D30" s="47"/>
      <c r="E30" s="47"/>
      <c r="F30" s="47"/>
      <c r="G30" s="47"/>
      <c r="H30" s="47" t="str">
        <f t="shared" si="0"/>
        <v/>
      </c>
      <c r="I30" s="47"/>
      <c r="J30" s="47" t="str">
        <f t="shared" si="1"/>
        <v/>
      </c>
      <c r="K30" s="47"/>
      <c r="L30" s="47"/>
      <c r="M30" s="70"/>
      <c r="N30" s="47"/>
      <c r="O30" s="103"/>
      <c r="P30" s="103" t="str">
        <f t="shared" si="2"/>
        <v/>
      </c>
      <c r="Q30" s="47"/>
      <c r="R30" s="47"/>
    </row>
    <row r="31" spans="1:18" ht="15" customHeight="1" x14ac:dyDescent="0.25">
      <c r="A31" s="47"/>
      <c r="B31" s="47"/>
      <c r="C31" s="47"/>
      <c r="D31" s="47"/>
      <c r="E31" s="47"/>
      <c r="F31" s="47"/>
      <c r="G31" s="47"/>
      <c r="H31" s="47" t="str">
        <f t="shared" si="0"/>
        <v/>
      </c>
      <c r="I31" s="47"/>
      <c r="J31" s="47" t="str">
        <f t="shared" si="1"/>
        <v/>
      </c>
      <c r="K31" s="47"/>
      <c r="L31" s="47"/>
      <c r="M31" s="70"/>
      <c r="N31" s="47"/>
      <c r="O31" s="103"/>
      <c r="P31" s="103" t="str">
        <f t="shared" si="2"/>
        <v/>
      </c>
      <c r="Q31" s="47"/>
      <c r="R31" s="47"/>
    </row>
    <row r="32" spans="1:18" ht="15" customHeight="1" x14ac:dyDescent="0.25">
      <c r="A32" s="47"/>
      <c r="B32" s="47"/>
      <c r="C32" s="47"/>
      <c r="D32" s="47"/>
      <c r="E32" s="47"/>
      <c r="F32" s="47"/>
      <c r="G32" s="47"/>
      <c r="H32" s="47" t="str">
        <f t="shared" si="0"/>
        <v/>
      </c>
      <c r="I32" s="47"/>
      <c r="J32" s="47" t="str">
        <f t="shared" si="1"/>
        <v/>
      </c>
      <c r="K32" s="47"/>
      <c r="L32" s="47"/>
      <c r="M32" s="70"/>
      <c r="N32" s="47"/>
      <c r="O32" s="103"/>
      <c r="P32" s="103" t="str">
        <f t="shared" si="2"/>
        <v/>
      </c>
      <c r="Q32" s="47"/>
      <c r="R32" s="47"/>
    </row>
    <row r="33" spans="1:18" ht="15" customHeight="1" x14ac:dyDescent="0.25">
      <c r="A33" s="47"/>
      <c r="B33" s="47"/>
      <c r="C33" s="47"/>
      <c r="D33" s="47"/>
      <c r="E33" s="47"/>
      <c r="F33" s="47"/>
      <c r="G33" s="47"/>
      <c r="H33" s="47" t="str">
        <f t="shared" si="0"/>
        <v/>
      </c>
      <c r="I33" s="47"/>
      <c r="J33" s="47" t="str">
        <f t="shared" si="1"/>
        <v/>
      </c>
      <c r="K33" s="47"/>
      <c r="L33" s="47"/>
      <c r="M33" s="70"/>
      <c r="N33" s="47"/>
      <c r="O33" s="103"/>
      <c r="P33" s="103" t="str">
        <f t="shared" si="2"/>
        <v/>
      </c>
      <c r="Q33" s="47"/>
      <c r="R33" s="47"/>
    </row>
    <row r="34" spans="1:18" ht="15" customHeight="1" x14ac:dyDescent="0.25">
      <c r="A34" s="47"/>
      <c r="B34" s="47"/>
      <c r="C34" s="47"/>
      <c r="D34" s="47"/>
      <c r="E34" s="47"/>
      <c r="F34" s="47"/>
      <c r="G34" s="47"/>
      <c r="H34" s="47" t="str">
        <f t="shared" si="0"/>
        <v/>
      </c>
      <c r="I34" s="47"/>
      <c r="J34" s="47" t="str">
        <f t="shared" si="1"/>
        <v/>
      </c>
      <c r="K34" s="47"/>
      <c r="L34" s="47"/>
      <c r="M34" s="70"/>
      <c r="N34" s="47"/>
      <c r="O34" s="103"/>
      <c r="P34" s="103" t="str">
        <f t="shared" si="2"/>
        <v/>
      </c>
      <c r="Q34" s="47"/>
      <c r="R34" s="47"/>
    </row>
    <row r="35" spans="1:18" ht="15" customHeight="1" x14ac:dyDescent="0.25">
      <c r="A35" s="47"/>
      <c r="B35" s="47"/>
      <c r="C35" s="47"/>
      <c r="D35" s="47"/>
      <c r="E35" s="47"/>
      <c r="F35" s="47"/>
      <c r="G35" s="47"/>
      <c r="H35" s="47" t="str">
        <f t="shared" si="0"/>
        <v/>
      </c>
      <c r="I35" s="47"/>
      <c r="J35" s="47" t="str">
        <f t="shared" si="1"/>
        <v/>
      </c>
      <c r="K35" s="47"/>
      <c r="L35" s="47"/>
      <c r="M35" s="70"/>
      <c r="N35" s="47"/>
      <c r="O35" s="103"/>
      <c r="P35" s="103" t="str">
        <f t="shared" si="2"/>
        <v/>
      </c>
      <c r="Q35" s="47"/>
      <c r="R35" s="47"/>
    </row>
    <row r="36" spans="1:18" ht="15" customHeight="1" x14ac:dyDescent="0.25">
      <c r="A36" s="47"/>
      <c r="B36" s="47"/>
      <c r="C36" s="47"/>
      <c r="D36" s="47"/>
      <c r="E36" s="47"/>
      <c r="F36" s="47"/>
      <c r="G36" s="47"/>
      <c r="H36" s="47" t="str">
        <f t="shared" si="0"/>
        <v/>
      </c>
      <c r="I36" s="47"/>
      <c r="J36" s="47" t="str">
        <f t="shared" si="1"/>
        <v/>
      </c>
      <c r="K36" s="47"/>
      <c r="L36" s="47"/>
      <c r="M36" s="70"/>
      <c r="N36" s="47"/>
      <c r="O36" s="103"/>
      <c r="P36" s="103" t="str">
        <f t="shared" si="2"/>
        <v/>
      </c>
      <c r="Q36" s="47"/>
      <c r="R36" s="47"/>
    </row>
    <row r="37" spans="1:18" ht="15" customHeight="1" x14ac:dyDescent="0.25">
      <c r="A37" s="47"/>
      <c r="B37" s="47"/>
      <c r="C37" s="47"/>
      <c r="D37" s="47"/>
      <c r="E37" s="47"/>
      <c r="F37" s="47"/>
      <c r="G37" s="47"/>
      <c r="H37" s="47" t="str">
        <f t="shared" ref="H37:H68" si="3">IF(A37="","",E37+F37-G37)</f>
        <v/>
      </c>
      <c r="I37" s="47"/>
      <c r="J37" s="47" t="str">
        <f t="shared" ref="J37:J68" si="4">IF(A37="","",IF(H37&lt;=0,"Out of Stock",IF(H37&lt;=I37,"Reorder","Available")))</f>
        <v/>
      </c>
      <c r="K37" s="47"/>
      <c r="L37" s="47"/>
      <c r="M37" s="70"/>
      <c r="N37" s="47"/>
      <c r="O37" s="103"/>
      <c r="P37" s="103" t="str">
        <f t="shared" ref="P37:P68" si="5">IF(A37="","",H37*O37)</f>
        <v/>
      </c>
      <c r="Q37" s="47"/>
      <c r="R37" s="47"/>
    </row>
    <row r="38" spans="1:18" ht="15" customHeight="1" x14ac:dyDescent="0.25">
      <c r="A38" s="47"/>
      <c r="B38" s="47"/>
      <c r="C38" s="47"/>
      <c r="D38" s="47"/>
      <c r="E38" s="47"/>
      <c r="F38" s="47"/>
      <c r="G38" s="47"/>
      <c r="H38" s="47" t="str">
        <f t="shared" si="3"/>
        <v/>
      </c>
      <c r="I38" s="47"/>
      <c r="J38" s="47" t="str">
        <f t="shared" si="4"/>
        <v/>
      </c>
      <c r="K38" s="47"/>
      <c r="L38" s="47"/>
      <c r="M38" s="70"/>
      <c r="N38" s="47"/>
      <c r="O38" s="103"/>
      <c r="P38" s="103" t="str">
        <f t="shared" si="5"/>
        <v/>
      </c>
      <c r="Q38" s="47"/>
      <c r="R38" s="47"/>
    </row>
    <row r="39" spans="1:18" ht="15" customHeight="1" x14ac:dyDescent="0.25">
      <c r="A39" s="47"/>
      <c r="B39" s="47"/>
      <c r="C39" s="47"/>
      <c r="D39" s="47"/>
      <c r="E39" s="47"/>
      <c r="F39" s="47"/>
      <c r="G39" s="47"/>
      <c r="H39" s="47" t="str">
        <f t="shared" si="3"/>
        <v/>
      </c>
      <c r="I39" s="47"/>
      <c r="J39" s="47" t="str">
        <f t="shared" si="4"/>
        <v/>
      </c>
      <c r="K39" s="47"/>
      <c r="L39" s="47"/>
      <c r="M39" s="70"/>
      <c r="N39" s="47"/>
      <c r="O39" s="103"/>
      <c r="P39" s="103" t="str">
        <f t="shared" si="5"/>
        <v/>
      </c>
      <c r="Q39" s="47"/>
      <c r="R39" s="47"/>
    </row>
    <row r="40" spans="1:18" ht="15" customHeight="1" x14ac:dyDescent="0.25">
      <c r="A40" s="47"/>
      <c r="B40" s="47"/>
      <c r="C40" s="47"/>
      <c r="D40" s="47"/>
      <c r="E40" s="47"/>
      <c r="F40" s="47"/>
      <c r="G40" s="47"/>
      <c r="H40" s="47" t="str">
        <f t="shared" si="3"/>
        <v/>
      </c>
      <c r="I40" s="47"/>
      <c r="J40" s="47" t="str">
        <f t="shared" si="4"/>
        <v/>
      </c>
      <c r="K40" s="47"/>
      <c r="L40" s="47"/>
      <c r="M40" s="70"/>
      <c r="N40" s="47"/>
      <c r="O40" s="103"/>
      <c r="P40" s="103" t="str">
        <f t="shared" si="5"/>
        <v/>
      </c>
      <c r="Q40" s="47"/>
      <c r="R40" s="47"/>
    </row>
    <row r="41" spans="1:18" ht="15" customHeight="1" x14ac:dyDescent="0.25">
      <c r="A41" s="47"/>
      <c r="B41" s="47"/>
      <c r="C41" s="47"/>
      <c r="D41" s="47"/>
      <c r="E41" s="47"/>
      <c r="F41" s="47"/>
      <c r="G41" s="47"/>
      <c r="H41" s="47" t="str">
        <f t="shared" si="3"/>
        <v/>
      </c>
      <c r="I41" s="47"/>
      <c r="J41" s="47" t="str">
        <f t="shared" si="4"/>
        <v/>
      </c>
      <c r="K41" s="47"/>
      <c r="L41" s="47"/>
      <c r="M41" s="70"/>
      <c r="N41" s="47"/>
      <c r="O41" s="103"/>
      <c r="P41" s="103" t="str">
        <f t="shared" si="5"/>
        <v/>
      </c>
      <c r="Q41" s="47"/>
      <c r="R41" s="47"/>
    </row>
    <row r="42" spans="1:18" ht="15" customHeight="1" x14ac:dyDescent="0.25">
      <c r="A42" s="47"/>
      <c r="B42" s="47"/>
      <c r="C42" s="47"/>
      <c r="D42" s="47"/>
      <c r="E42" s="47"/>
      <c r="F42" s="47"/>
      <c r="G42" s="47"/>
      <c r="H42" s="47" t="str">
        <f t="shared" si="3"/>
        <v/>
      </c>
      <c r="I42" s="47"/>
      <c r="J42" s="47" t="str">
        <f t="shared" si="4"/>
        <v/>
      </c>
      <c r="K42" s="47"/>
      <c r="L42" s="47"/>
      <c r="M42" s="70"/>
      <c r="N42" s="47"/>
      <c r="O42" s="103"/>
      <c r="P42" s="103" t="str">
        <f t="shared" si="5"/>
        <v/>
      </c>
      <c r="Q42" s="47"/>
      <c r="R42" s="47"/>
    </row>
    <row r="43" spans="1:18" ht="15" customHeight="1" x14ac:dyDescent="0.25">
      <c r="A43" s="47"/>
      <c r="B43" s="47"/>
      <c r="C43" s="47"/>
      <c r="D43" s="47"/>
      <c r="E43" s="47"/>
      <c r="F43" s="47"/>
      <c r="G43" s="47"/>
      <c r="H43" s="47" t="str">
        <f t="shared" si="3"/>
        <v/>
      </c>
      <c r="I43" s="47"/>
      <c r="J43" s="47" t="str">
        <f t="shared" si="4"/>
        <v/>
      </c>
      <c r="K43" s="47"/>
      <c r="L43" s="47"/>
      <c r="M43" s="70"/>
      <c r="N43" s="47"/>
      <c r="O43" s="103"/>
      <c r="P43" s="103" t="str">
        <f t="shared" si="5"/>
        <v/>
      </c>
      <c r="Q43" s="47"/>
      <c r="R43" s="47"/>
    </row>
    <row r="44" spans="1:18" ht="15" customHeight="1" x14ac:dyDescent="0.25">
      <c r="A44" s="47"/>
      <c r="B44" s="47"/>
      <c r="C44" s="47"/>
      <c r="D44" s="47"/>
      <c r="E44" s="47"/>
      <c r="F44" s="47"/>
      <c r="G44" s="47"/>
      <c r="H44" s="47" t="str">
        <f t="shared" si="3"/>
        <v/>
      </c>
      <c r="I44" s="47"/>
      <c r="J44" s="47" t="str">
        <f t="shared" si="4"/>
        <v/>
      </c>
      <c r="K44" s="47"/>
      <c r="L44" s="47"/>
      <c r="M44" s="70"/>
      <c r="N44" s="47"/>
      <c r="O44" s="103"/>
      <c r="P44" s="103" t="str">
        <f t="shared" si="5"/>
        <v/>
      </c>
      <c r="Q44" s="47"/>
      <c r="R44" s="47"/>
    </row>
    <row r="45" spans="1:18" ht="15" customHeight="1" x14ac:dyDescent="0.25">
      <c r="A45" s="47"/>
      <c r="B45" s="47"/>
      <c r="C45" s="47"/>
      <c r="D45" s="47"/>
      <c r="E45" s="47"/>
      <c r="F45" s="47"/>
      <c r="G45" s="47"/>
      <c r="H45" s="47" t="str">
        <f t="shared" si="3"/>
        <v/>
      </c>
      <c r="I45" s="47"/>
      <c r="J45" s="47" t="str">
        <f t="shared" si="4"/>
        <v/>
      </c>
      <c r="K45" s="47"/>
      <c r="L45" s="47"/>
      <c r="M45" s="70"/>
      <c r="N45" s="47"/>
      <c r="O45" s="103"/>
      <c r="P45" s="103" t="str">
        <f t="shared" si="5"/>
        <v/>
      </c>
      <c r="Q45" s="47"/>
      <c r="R45" s="47"/>
    </row>
    <row r="46" spans="1:18" ht="15" customHeight="1" x14ac:dyDescent="0.25">
      <c r="A46" s="47"/>
      <c r="B46" s="47"/>
      <c r="C46" s="47"/>
      <c r="D46" s="47"/>
      <c r="E46" s="47"/>
      <c r="F46" s="47"/>
      <c r="G46" s="47"/>
      <c r="H46" s="47" t="str">
        <f t="shared" si="3"/>
        <v/>
      </c>
      <c r="I46" s="47"/>
      <c r="J46" s="47" t="str">
        <f t="shared" si="4"/>
        <v/>
      </c>
      <c r="K46" s="47"/>
      <c r="L46" s="47"/>
      <c r="M46" s="70"/>
      <c r="N46" s="47"/>
      <c r="O46" s="103"/>
      <c r="P46" s="103" t="str">
        <f t="shared" si="5"/>
        <v/>
      </c>
      <c r="Q46" s="47"/>
      <c r="R46" s="47"/>
    </row>
    <row r="47" spans="1:18" ht="15" customHeight="1" x14ac:dyDescent="0.25">
      <c r="A47" s="47"/>
      <c r="B47" s="47"/>
      <c r="C47" s="47"/>
      <c r="D47" s="47"/>
      <c r="E47" s="47"/>
      <c r="F47" s="47"/>
      <c r="G47" s="47"/>
      <c r="H47" s="47" t="str">
        <f t="shared" si="3"/>
        <v/>
      </c>
      <c r="I47" s="47"/>
      <c r="J47" s="47" t="str">
        <f t="shared" si="4"/>
        <v/>
      </c>
      <c r="K47" s="47"/>
      <c r="L47" s="47"/>
      <c r="M47" s="70"/>
      <c r="N47" s="47"/>
      <c r="O47" s="103"/>
      <c r="P47" s="103" t="str">
        <f t="shared" si="5"/>
        <v/>
      </c>
      <c r="Q47" s="47"/>
      <c r="R47" s="47"/>
    </row>
    <row r="48" spans="1:18" ht="15" customHeight="1" x14ac:dyDescent="0.25">
      <c r="A48" s="47"/>
      <c r="B48" s="47"/>
      <c r="C48" s="47"/>
      <c r="D48" s="47"/>
      <c r="E48" s="47"/>
      <c r="F48" s="47"/>
      <c r="G48" s="47"/>
      <c r="H48" s="47" t="str">
        <f t="shared" si="3"/>
        <v/>
      </c>
      <c r="I48" s="47"/>
      <c r="J48" s="47" t="str">
        <f t="shared" si="4"/>
        <v/>
      </c>
      <c r="K48" s="47"/>
      <c r="L48" s="47"/>
      <c r="M48" s="70"/>
      <c r="N48" s="47"/>
      <c r="O48" s="103"/>
      <c r="P48" s="103" t="str">
        <f t="shared" si="5"/>
        <v/>
      </c>
      <c r="Q48" s="47"/>
      <c r="R48" s="47"/>
    </row>
    <row r="49" spans="1:18" ht="15" customHeight="1" x14ac:dyDescent="0.25">
      <c r="A49" s="47"/>
      <c r="B49" s="47"/>
      <c r="C49" s="47"/>
      <c r="D49" s="47"/>
      <c r="E49" s="47"/>
      <c r="F49" s="47"/>
      <c r="G49" s="47"/>
      <c r="H49" s="47" t="str">
        <f t="shared" si="3"/>
        <v/>
      </c>
      <c r="I49" s="47"/>
      <c r="J49" s="47" t="str">
        <f t="shared" si="4"/>
        <v/>
      </c>
      <c r="K49" s="47"/>
      <c r="L49" s="47"/>
      <c r="M49" s="70"/>
      <c r="N49" s="47"/>
      <c r="O49" s="103"/>
      <c r="P49" s="103" t="str">
        <f t="shared" si="5"/>
        <v/>
      </c>
      <c r="Q49" s="47"/>
      <c r="R49" s="47"/>
    </row>
    <row r="50" spans="1:18" ht="15" customHeight="1" x14ac:dyDescent="0.25">
      <c r="A50" s="47"/>
      <c r="B50" s="47"/>
      <c r="C50" s="47"/>
      <c r="D50" s="47"/>
      <c r="E50" s="47"/>
      <c r="F50" s="47"/>
      <c r="G50" s="47"/>
      <c r="H50" s="47" t="str">
        <f t="shared" si="3"/>
        <v/>
      </c>
      <c r="I50" s="47"/>
      <c r="J50" s="47" t="str">
        <f t="shared" si="4"/>
        <v/>
      </c>
      <c r="K50" s="47"/>
      <c r="L50" s="47"/>
      <c r="M50" s="70"/>
      <c r="N50" s="47"/>
      <c r="O50" s="103"/>
      <c r="P50" s="103" t="str">
        <f t="shared" si="5"/>
        <v/>
      </c>
      <c r="Q50" s="47"/>
      <c r="R50" s="47"/>
    </row>
    <row r="51" spans="1:18" ht="15" customHeight="1" x14ac:dyDescent="0.25">
      <c r="A51" s="47"/>
      <c r="B51" s="47"/>
      <c r="C51" s="47"/>
      <c r="D51" s="47"/>
      <c r="E51" s="47"/>
      <c r="F51" s="47"/>
      <c r="G51" s="47"/>
      <c r="H51" s="47" t="str">
        <f t="shared" si="3"/>
        <v/>
      </c>
      <c r="I51" s="47"/>
      <c r="J51" s="47" t="str">
        <f t="shared" si="4"/>
        <v/>
      </c>
      <c r="K51" s="47"/>
      <c r="L51" s="47"/>
      <c r="M51" s="70"/>
      <c r="N51" s="47"/>
      <c r="O51" s="103"/>
      <c r="P51" s="103" t="str">
        <f t="shared" si="5"/>
        <v/>
      </c>
      <c r="Q51" s="47"/>
      <c r="R51" s="47"/>
    </row>
    <row r="52" spans="1:18" ht="15" customHeight="1" x14ac:dyDescent="0.25">
      <c r="A52" s="47"/>
      <c r="B52" s="47"/>
      <c r="C52" s="47"/>
      <c r="D52" s="47"/>
      <c r="E52" s="47"/>
      <c r="F52" s="47"/>
      <c r="G52" s="47"/>
      <c r="H52" s="47" t="str">
        <f t="shared" si="3"/>
        <v/>
      </c>
      <c r="I52" s="47"/>
      <c r="J52" s="47" t="str">
        <f t="shared" si="4"/>
        <v/>
      </c>
      <c r="K52" s="47"/>
      <c r="L52" s="47"/>
      <c r="M52" s="70"/>
      <c r="N52" s="47"/>
      <c r="O52" s="103"/>
      <c r="P52" s="103" t="str">
        <f t="shared" si="5"/>
        <v/>
      </c>
      <c r="Q52" s="47"/>
      <c r="R52" s="47"/>
    </row>
    <row r="53" spans="1:18" ht="15" customHeight="1" x14ac:dyDescent="0.25">
      <c r="A53" s="47"/>
      <c r="B53" s="47"/>
      <c r="C53" s="47"/>
      <c r="D53" s="47"/>
      <c r="E53" s="47"/>
      <c r="F53" s="47"/>
      <c r="G53" s="47"/>
      <c r="H53" s="47" t="str">
        <f t="shared" si="3"/>
        <v/>
      </c>
      <c r="I53" s="47"/>
      <c r="J53" s="47" t="str">
        <f t="shared" si="4"/>
        <v/>
      </c>
      <c r="K53" s="47"/>
      <c r="L53" s="47"/>
      <c r="M53" s="70"/>
      <c r="N53" s="47"/>
      <c r="O53" s="103"/>
      <c r="P53" s="103" t="str">
        <f t="shared" si="5"/>
        <v/>
      </c>
      <c r="Q53" s="47"/>
      <c r="R53" s="47"/>
    </row>
    <row r="54" spans="1:18" ht="15" customHeight="1" x14ac:dyDescent="0.25">
      <c r="A54" s="47"/>
      <c r="B54" s="47"/>
      <c r="C54" s="47"/>
      <c r="D54" s="47"/>
      <c r="E54" s="47"/>
      <c r="F54" s="47"/>
      <c r="G54" s="47"/>
      <c r="H54" s="47" t="str">
        <f t="shared" si="3"/>
        <v/>
      </c>
      <c r="I54" s="47"/>
      <c r="J54" s="47" t="str">
        <f t="shared" si="4"/>
        <v/>
      </c>
      <c r="K54" s="47"/>
      <c r="L54" s="47"/>
      <c r="M54" s="70"/>
      <c r="N54" s="47"/>
      <c r="O54" s="103"/>
      <c r="P54" s="103" t="str">
        <f t="shared" si="5"/>
        <v/>
      </c>
      <c r="Q54" s="47"/>
      <c r="R54" s="47"/>
    </row>
    <row r="55" spans="1:18" ht="15" customHeight="1" x14ac:dyDescent="0.25">
      <c r="A55" s="47"/>
      <c r="B55" s="47"/>
      <c r="C55" s="47"/>
      <c r="D55" s="47"/>
      <c r="E55" s="47"/>
      <c r="F55" s="47"/>
      <c r="G55" s="47"/>
      <c r="H55" s="47" t="str">
        <f t="shared" si="3"/>
        <v/>
      </c>
      <c r="I55" s="47"/>
      <c r="J55" s="47" t="str">
        <f t="shared" si="4"/>
        <v/>
      </c>
      <c r="K55" s="47"/>
      <c r="L55" s="47"/>
      <c r="M55" s="70"/>
      <c r="N55" s="47"/>
      <c r="O55" s="103"/>
      <c r="P55" s="103" t="str">
        <f t="shared" si="5"/>
        <v/>
      </c>
      <c r="Q55" s="47"/>
      <c r="R55" s="47"/>
    </row>
    <row r="56" spans="1:18" ht="15" customHeight="1" x14ac:dyDescent="0.25">
      <c r="A56" s="47"/>
      <c r="B56" s="47"/>
      <c r="C56" s="47"/>
      <c r="D56" s="47"/>
      <c r="E56" s="47"/>
      <c r="F56" s="47"/>
      <c r="G56" s="47"/>
      <c r="H56" s="47" t="str">
        <f t="shared" si="3"/>
        <v/>
      </c>
      <c r="I56" s="47"/>
      <c r="J56" s="47" t="str">
        <f t="shared" si="4"/>
        <v/>
      </c>
      <c r="K56" s="47"/>
      <c r="L56" s="47"/>
      <c r="M56" s="70"/>
      <c r="N56" s="47"/>
      <c r="O56" s="103"/>
      <c r="P56" s="103" t="str">
        <f t="shared" si="5"/>
        <v/>
      </c>
      <c r="Q56" s="47"/>
      <c r="R56" s="47"/>
    </row>
    <row r="57" spans="1:18" ht="15" customHeight="1" x14ac:dyDescent="0.25">
      <c r="A57" s="47"/>
      <c r="B57" s="47"/>
      <c r="C57" s="47"/>
      <c r="D57" s="47"/>
      <c r="E57" s="47"/>
      <c r="F57" s="47"/>
      <c r="G57" s="47"/>
      <c r="H57" s="47" t="str">
        <f t="shared" si="3"/>
        <v/>
      </c>
      <c r="I57" s="47"/>
      <c r="J57" s="47" t="str">
        <f t="shared" si="4"/>
        <v/>
      </c>
      <c r="K57" s="47"/>
      <c r="L57" s="47"/>
      <c r="M57" s="70"/>
      <c r="N57" s="47"/>
      <c r="O57" s="103"/>
      <c r="P57" s="103" t="str">
        <f t="shared" si="5"/>
        <v/>
      </c>
      <c r="Q57" s="47"/>
      <c r="R57" s="47"/>
    </row>
    <row r="58" spans="1:18" ht="15" customHeight="1" x14ac:dyDescent="0.25">
      <c r="A58" s="47"/>
      <c r="B58" s="47"/>
      <c r="C58" s="47"/>
      <c r="D58" s="47"/>
      <c r="E58" s="47"/>
      <c r="F58" s="47"/>
      <c r="G58" s="47"/>
      <c r="H58" s="47" t="str">
        <f t="shared" si="3"/>
        <v/>
      </c>
      <c r="I58" s="47"/>
      <c r="J58" s="47" t="str">
        <f t="shared" si="4"/>
        <v/>
      </c>
      <c r="K58" s="47"/>
      <c r="L58" s="47"/>
      <c r="M58" s="70"/>
      <c r="N58" s="47"/>
      <c r="O58" s="103"/>
      <c r="P58" s="103" t="str">
        <f t="shared" si="5"/>
        <v/>
      </c>
      <c r="Q58" s="47"/>
      <c r="R58" s="47"/>
    </row>
    <row r="59" spans="1:18" ht="15" customHeight="1" x14ac:dyDescent="0.25">
      <c r="A59" s="47"/>
      <c r="B59" s="47"/>
      <c r="C59" s="47"/>
      <c r="D59" s="47"/>
      <c r="E59" s="47"/>
      <c r="F59" s="47"/>
      <c r="G59" s="47"/>
      <c r="H59" s="47" t="str">
        <f t="shared" si="3"/>
        <v/>
      </c>
      <c r="I59" s="47"/>
      <c r="J59" s="47" t="str">
        <f t="shared" si="4"/>
        <v/>
      </c>
      <c r="K59" s="47"/>
      <c r="L59" s="47"/>
      <c r="M59" s="70"/>
      <c r="N59" s="47"/>
      <c r="O59" s="103"/>
      <c r="P59" s="103" t="str">
        <f t="shared" si="5"/>
        <v/>
      </c>
      <c r="Q59" s="47"/>
      <c r="R59" s="47"/>
    </row>
    <row r="60" spans="1:18" ht="15" customHeight="1" x14ac:dyDescent="0.25">
      <c r="A60" s="47"/>
      <c r="B60" s="47"/>
      <c r="C60" s="47"/>
      <c r="D60" s="47"/>
      <c r="E60" s="47"/>
      <c r="F60" s="47"/>
      <c r="G60" s="47"/>
      <c r="H60" s="47" t="str">
        <f t="shared" si="3"/>
        <v/>
      </c>
      <c r="I60" s="47"/>
      <c r="J60" s="47" t="str">
        <f t="shared" si="4"/>
        <v/>
      </c>
      <c r="K60" s="47"/>
      <c r="L60" s="47"/>
      <c r="M60" s="70"/>
      <c r="N60" s="47"/>
      <c r="O60" s="103"/>
      <c r="P60" s="103" t="str">
        <f t="shared" si="5"/>
        <v/>
      </c>
      <c r="Q60" s="47"/>
      <c r="R60" s="47"/>
    </row>
    <row r="61" spans="1:18" ht="15" customHeight="1" x14ac:dyDescent="0.25">
      <c r="A61" s="47"/>
      <c r="B61" s="47"/>
      <c r="C61" s="47"/>
      <c r="D61" s="47"/>
      <c r="E61" s="47"/>
      <c r="F61" s="47"/>
      <c r="G61" s="47"/>
      <c r="H61" s="47" t="str">
        <f t="shared" si="3"/>
        <v/>
      </c>
      <c r="I61" s="47"/>
      <c r="J61" s="47" t="str">
        <f t="shared" si="4"/>
        <v/>
      </c>
      <c r="K61" s="47"/>
      <c r="L61" s="47"/>
      <c r="M61" s="70"/>
      <c r="N61" s="47"/>
      <c r="O61" s="103"/>
      <c r="P61" s="103" t="str">
        <f t="shared" si="5"/>
        <v/>
      </c>
      <c r="Q61" s="47"/>
      <c r="R61" s="47"/>
    </row>
    <row r="62" spans="1:18" ht="15" customHeight="1" x14ac:dyDescent="0.25">
      <c r="A62" s="47"/>
      <c r="B62" s="47"/>
      <c r="C62" s="47"/>
      <c r="D62" s="47"/>
      <c r="E62" s="47"/>
      <c r="F62" s="47"/>
      <c r="G62" s="47"/>
      <c r="H62" s="47" t="str">
        <f t="shared" si="3"/>
        <v/>
      </c>
      <c r="I62" s="47"/>
      <c r="J62" s="47" t="str">
        <f t="shared" si="4"/>
        <v/>
      </c>
      <c r="K62" s="47"/>
      <c r="L62" s="47"/>
      <c r="M62" s="70"/>
      <c r="N62" s="47"/>
      <c r="O62" s="103"/>
      <c r="P62" s="103" t="str">
        <f t="shared" si="5"/>
        <v/>
      </c>
      <c r="Q62" s="47"/>
      <c r="R62" s="47"/>
    </row>
    <row r="63" spans="1:18" ht="15" customHeight="1" x14ac:dyDescent="0.25">
      <c r="A63" s="47"/>
      <c r="B63" s="47"/>
      <c r="C63" s="47"/>
      <c r="D63" s="47"/>
      <c r="E63" s="47"/>
      <c r="F63" s="47"/>
      <c r="G63" s="47"/>
      <c r="H63" s="47" t="str">
        <f t="shared" si="3"/>
        <v/>
      </c>
      <c r="I63" s="47"/>
      <c r="J63" s="47" t="str">
        <f t="shared" si="4"/>
        <v/>
      </c>
      <c r="K63" s="47"/>
      <c r="L63" s="47"/>
      <c r="M63" s="70"/>
      <c r="N63" s="47"/>
      <c r="O63" s="103"/>
      <c r="P63" s="103" t="str">
        <f t="shared" si="5"/>
        <v/>
      </c>
      <c r="Q63" s="47"/>
      <c r="R63" s="47"/>
    </row>
    <row r="64" spans="1:18" ht="15" customHeight="1" x14ac:dyDescent="0.25">
      <c r="A64" s="47"/>
      <c r="B64" s="47"/>
      <c r="C64" s="47"/>
      <c r="D64" s="47"/>
      <c r="E64" s="47"/>
      <c r="F64" s="47"/>
      <c r="G64" s="47"/>
      <c r="H64" s="47" t="str">
        <f t="shared" si="3"/>
        <v/>
      </c>
      <c r="I64" s="47"/>
      <c r="J64" s="47" t="str">
        <f t="shared" si="4"/>
        <v/>
      </c>
      <c r="K64" s="47"/>
      <c r="L64" s="47"/>
      <c r="M64" s="70"/>
      <c r="N64" s="47"/>
      <c r="O64" s="103"/>
      <c r="P64" s="103" t="str">
        <f t="shared" si="5"/>
        <v/>
      </c>
      <c r="Q64" s="47"/>
      <c r="R64" s="47"/>
    </row>
    <row r="65" spans="1:18" ht="15" customHeight="1" x14ac:dyDescent="0.25">
      <c r="A65" s="47"/>
      <c r="B65" s="47"/>
      <c r="C65" s="47"/>
      <c r="D65" s="47"/>
      <c r="E65" s="47"/>
      <c r="F65" s="47"/>
      <c r="G65" s="47"/>
      <c r="H65" s="47" t="str">
        <f t="shared" si="3"/>
        <v/>
      </c>
      <c r="I65" s="47"/>
      <c r="J65" s="47" t="str">
        <f t="shared" si="4"/>
        <v/>
      </c>
      <c r="K65" s="47"/>
      <c r="L65" s="47"/>
      <c r="M65" s="70"/>
      <c r="N65" s="47"/>
      <c r="O65" s="103"/>
      <c r="P65" s="103" t="str">
        <f t="shared" si="5"/>
        <v/>
      </c>
      <c r="Q65" s="47"/>
      <c r="R65" s="47"/>
    </row>
    <row r="66" spans="1:18" ht="15" customHeight="1" x14ac:dyDescent="0.25">
      <c r="A66" s="47"/>
      <c r="B66" s="47"/>
      <c r="C66" s="47"/>
      <c r="D66" s="47"/>
      <c r="E66" s="47"/>
      <c r="F66" s="47"/>
      <c r="G66" s="47"/>
      <c r="H66" s="47" t="str">
        <f t="shared" si="3"/>
        <v/>
      </c>
      <c r="I66" s="47"/>
      <c r="J66" s="47" t="str">
        <f t="shared" si="4"/>
        <v/>
      </c>
      <c r="K66" s="47"/>
      <c r="L66" s="47"/>
      <c r="M66" s="70"/>
      <c r="N66" s="47"/>
      <c r="O66" s="103"/>
      <c r="P66" s="103" t="str">
        <f t="shared" si="5"/>
        <v/>
      </c>
      <c r="Q66" s="47"/>
      <c r="R66" s="47"/>
    </row>
    <row r="67" spans="1:18" ht="15" customHeight="1" x14ac:dyDescent="0.25">
      <c r="A67" s="47"/>
      <c r="B67" s="47"/>
      <c r="C67" s="47"/>
      <c r="D67" s="47"/>
      <c r="E67" s="47"/>
      <c r="F67" s="47"/>
      <c r="G67" s="47"/>
      <c r="H67" s="47" t="str">
        <f t="shared" si="3"/>
        <v/>
      </c>
      <c r="I67" s="47"/>
      <c r="J67" s="47" t="str">
        <f t="shared" si="4"/>
        <v/>
      </c>
      <c r="K67" s="47"/>
      <c r="L67" s="47"/>
      <c r="M67" s="70"/>
      <c r="N67" s="47"/>
      <c r="O67" s="103"/>
      <c r="P67" s="103" t="str">
        <f t="shared" si="5"/>
        <v/>
      </c>
      <c r="Q67" s="47"/>
      <c r="R67" s="47"/>
    </row>
    <row r="68" spans="1:18" ht="15" customHeight="1" x14ac:dyDescent="0.25">
      <c r="A68" s="47"/>
      <c r="B68" s="47"/>
      <c r="C68" s="47"/>
      <c r="D68" s="47"/>
      <c r="E68" s="47"/>
      <c r="F68" s="47"/>
      <c r="G68" s="47"/>
      <c r="H68" s="47" t="str">
        <f t="shared" si="3"/>
        <v/>
      </c>
      <c r="I68" s="47"/>
      <c r="J68" s="47" t="str">
        <f t="shared" si="4"/>
        <v/>
      </c>
      <c r="K68" s="47"/>
      <c r="L68" s="47"/>
      <c r="M68" s="70"/>
      <c r="N68" s="47"/>
      <c r="O68" s="103"/>
      <c r="P68" s="103" t="str">
        <f t="shared" si="5"/>
        <v/>
      </c>
      <c r="Q68" s="47"/>
      <c r="R68" s="47"/>
    </row>
    <row r="69" spans="1:18" ht="15" customHeight="1" x14ac:dyDescent="0.25">
      <c r="A69" s="47"/>
      <c r="B69" s="47"/>
      <c r="C69" s="47"/>
      <c r="D69" s="47"/>
      <c r="E69" s="47"/>
      <c r="F69" s="47"/>
      <c r="G69" s="47"/>
      <c r="H69" s="47" t="str">
        <f t="shared" ref="H69:H100" si="6">IF(A69="","",E69+F69-G69)</f>
        <v/>
      </c>
      <c r="I69" s="47"/>
      <c r="J69" s="47" t="str">
        <f t="shared" ref="J69:J100" si="7">IF(A69="","",IF(H69&lt;=0,"Out of Stock",IF(H69&lt;=I69,"Reorder","Available")))</f>
        <v/>
      </c>
      <c r="K69" s="47"/>
      <c r="L69" s="47"/>
      <c r="M69" s="70"/>
      <c r="N69" s="47"/>
      <c r="O69" s="103"/>
      <c r="P69" s="103" t="str">
        <f t="shared" ref="P69:P100" si="8">IF(A69="","",H69*O69)</f>
        <v/>
      </c>
      <c r="Q69" s="47"/>
      <c r="R69" s="47"/>
    </row>
    <row r="70" spans="1:18" ht="15" customHeight="1" x14ac:dyDescent="0.25">
      <c r="A70" s="47"/>
      <c r="B70" s="47"/>
      <c r="C70" s="47"/>
      <c r="D70" s="47"/>
      <c r="E70" s="47"/>
      <c r="F70" s="47"/>
      <c r="G70" s="47"/>
      <c r="H70" s="47" t="str">
        <f t="shared" si="6"/>
        <v/>
      </c>
      <c r="I70" s="47"/>
      <c r="J70" s="47" t="str">
        <f t="shared" si="7"/>
        <v/>
      </c>
      <c r="K70" s="47"/>
      <c r="L70" s="47"/>
      <c r="M70" s="70"/>
      <c r="N70" s="47"/>
      <c r="O70" s="103"/>
      <c r="P70" s="103" t="str">
        <f t="shared" si="8"/>
        <v/>
      </c>
      <c r="Q70" s="47"/>
      <c r="R70" s="47"/>
    </row>
    <row r="71" spans="1:18" ht="15" customHeight="1" x14ac:dyDescent="0.25">
      <c r="A71" s="47"/>
      <c r="B71" s="47"/>
      <c r="C71" s="47"/>
      <c r="D71" s="47"/>
      <c r="E71" s="47"/>
      <c r="F71" s="47"/>
      <c r="G71" s="47"/>
      <c r="H71" s="47" t="str">
        <f t="shared" si="6"/>
        <v/>
      </c>
      <c r="I71" s="47"/>
      <c r="J71" s="47" t="str">
        <f t="shared" si="7"/>
        <v/>
      </c>
      <c r="K71" s="47"/>
      <c r="L71" s="47"/>
      <c r="M71" s="70"/>
      <c r="N71" s="47"/>
      <c r="O71" s="103"/>
      <c r="P71" s="103" t="str">
        <f t="shared" si="8"/>
        <v/>
      </c>
      <c r="Q71" s="47"/>
      <c r="R71" s="47"/>
    </row>
    <row r="72" spans="1:18" ht="15" customHeight="1" x14ac:dyDescent="0.25">
      <c r="A72" s="47"/>
      <c r="B72" s="47"/>
      <c r="C72" s="47"/>
      <c r="D72" s="47"/>
      <c r="E72" s="47"/>
      <c r="F72" s="47"/>
      <c r="G72" s="47"/>
      <c r="H72" s="47" t="str">
        <f t="shared" si="6"/>
        <v/>
      </c>
      <c r="I72" s="47"/>
      <c r="J72" s="47" t="str">
        <f t="shared" si="7"/>
        <v/>
      </c>
      <c r="K72" s="47"/>
      <c r="L72" s="47"/>
      <c r="M72" s="70"/>
      <c r="N72" s="47"/>
      <c r="O72" s="103"/>
      <c r="P72" s="103" t="str">
        <f t="shared" si="8"/>
        <v/>
      </c>
      <c r="Q72" s="47"/>
      <c r="R72" s="47"/>
    </row>
    <row r="73" spans="1:18" ht="15" customHeight="1" x14ac:dyDescent="0.25">
      <c r="A73" s="47"/>
      <c r="B73" s="47"/>
      <c r="C73" s="47"/>
      <c r="D73" s="47"/>
      <c r="E73" s="47"/>
      <c r="F73" s="47"/>
      <c r="G73" s="47"/>
      <c r="H73" s="47" t="str">
        <f t="shared" si="6"/>
        <v/>
      </c>
      <c r="I73" s="47"/>
      <c r="J73" s="47" t="str">
        <f t="shared" si="7"/>
        <v/>
      </c>
      <c r="K73" s="47"/>
      <c r="L73" s="47"/>
      <c r="M73" s="70"/>
      <c r="N73" s="47"/>
      <c r="O73" s="103"/>
      <c r="P73" s="103" t="str">
        <f t="shared" si="8"/>
        <v/>
      </c>
      <c r="Q73" s="47"/>
      <c r="R73" s="47"/>
    </row>
    <row r="74" spans="1:18" ht="15" customHeight="1" x14ac:dyDescent="0.25">
      <c r="A74" s="47"/>
      <c r="B74" s="47"/>
      <c r="C74" s="47"/>
      <c r="D74" s="47"/>
      <c r="E74" s="47"/>
      <c r="F74" s="47"/>
      <c r="G74" s="47"/>
      <c r="H74" s="47" t="str">
        <f t="shared" si="6"/>
        <v/>
      </c>
      <c r="I74" s="47"/>
      <c r="J74" s="47" t="str">
        <f t="shared" si="7"/>
        <v/>
      </c>
      <c r="K74" s="47"/>
      <c r="L74" s="47"/>
      <c r="M74" s="70"/>
      <c r="N74" s="47"/>
      <c r="O74" s="103"/>
      <c r="P74" s="103" t="str">
        <f t="shared" si="8"/>
        <v/>
      </c>
      <c r="Q74" s="47"/>
      <c r="R74" s="47"/>
    </row>
    <row r="75" spans="1:18" ht="15" customHeight="1" x14ac:dyDescent="0.25">
      <c r="A75" s="47"/>
      <c r="B75" s="47"/>
      <c r="C75" s="47"/>
      <c r="D75" s="47"/>
      <c r="E75" s="47"/>
      <c r="F75" s="47"/>
      <c r="G75" s="47"/>
      <c r="H75" s="47" t="str">
        <f t="shared" si="6"/>
        <v/>
      </c>
      <c r="I75" s="47"/>
      <c r="J75" s="47" t="str">
        <f t="shared" si="7"/>
        <v/>
      </c>
      <c r="K75" s="47"/>
      <c r="L75" s="47"/>
      <c r="M75" s="70"/>
      <c r="N75" s="47"/>
      <c r="O75" s="103"/>
      <c r="P75" s="103" t="str">
        <f t="shared" si="8"/>
        <v/>
      </c>
      <c r="Q75" s="47"/>
      <c r="R75" s="47"/>
    </row>
    <row r="76" spans="1:18" ht="15" customHeight="1" x14ac:dyDescent="0.25">
      <c r="A76" s="47"/>
      <c r="B76" s="47"/>
      <c r="C76" s="47"/>
      <c r="D76" s="47"/>
      <c r="E76" s="47"/>
      <c r="F76" s="47"/>
      <c r="G76" s="47"/>
      <c r="H76" s="47" t="str">
        <f t="shared" si="6"/>
        <v/>
      </c>
      <c r="I76" s="47"/>
      <c r="J76" s="47" t="str">
        <f t="shared" si="7"/>
        <v/>
      </c>
      <c r="K76" s="47"/>
      <c r="L76" s="47"/>
      <c r="M76" s="70"/>
      <c r="N76" s="47"/>
      <c r="O76" s="103"/>
      <c r="P76" s="103" t="str">
        <f t="shared" si="8"/>
        <v/>
      </c>
      <c r="Q76" s="47"/>
      <c r="R76" s="47"/>
    </row>
    <row r="77" spans="1:18" ht="15" customHeight="1" x14ac:dyDescent="0.25">
      <c r="A77" s="47"/>
      <c r="B77" s="47"/>
      <c r="C77" s="47"/>
      <c r="D77" s="47"/>
      <c r="E77" s="47"/>
      <c r="F77" s="47"/>
      <c r="G77" s="47"/>
      <c r="H77" s="47" t="str">
        <f t="shared" si="6"/>
        <v/>
      </c>
      <c r="I77" s="47"/>
      <c r="J77" s="47" t="str">
        <f t="shared" si="7"/>
        <v/>
      </c>
      <c r="K77" s="47"/>
      <c r="L77" s="47"/>
      <c r="M77" s="70"/>
      <c r="N77" s="47"/>
      <c r="O77" s="103"/>
      <c r="P77" s="103" t="str">
        <f t="shared" si="8"/>
        <v/>
      </c>
      <c r="Q77" s="47"/>
      <c r="R77" s="47"/>
    </row>
    <row r="78" spans="1:18" ht="15" customHeight="1" x14ac:dyDescent="0.25">
      <c r="A78" s="47"/>
      <c r="B78" s="47"/>
      <c r="C78" s="47"/>
      <c r="D78" s="47"/>
      <c r="E78" s="47"/>
      <c r="F78" s="47"/>
      <c r="G78" s="47"/>
      <c r="H78" s="47" t="str">
        <f t="shared" si="6"/>
        <v/>
      </c>
      <c r="I78" s="47"/>
      <c r="J78" s="47" t="str">
        <f t="shared" si="7"/>
        <v/>
      </c>
      <c r="K78" s="47"/>
      <c r="L78" s="47"/>
      <c r="M78" s="70"/>
      <c r="N78" s="47"/>
      <c r="O78" s="103"/>
      <c r="P78" s="103" t="str">
        <f t="shared" si="8"/>
        <v/>
      </c>
      <c r="Q78" s="47"/>
      <c r="R78" s="47"/>
    </row>
    <row r="79" spans="1:18" ht="15" customHeight="1" x14ac:dyDescent="0.25">
      <c r="A79" s="47"/>
      <c r="B79" s="47"/>
      <c r="C79" s="47"/>
      <c r="D79" s="47"/>
      <c r="E79" s="47"/>
      <c r="F79" s="47"/>
      <c r="G79" s="47"/>
      <c r="H79" s="47" t="str">
        <f t="shared" si="6"/>
        <v/>
      </c>
      <c r="I79" s="47"/>
      <c r="J79" s="47" t="str">
        <f t="shared" si="7"/>
        <v/>
      </c>
      <c r="K79" s="47"/>
      <c r="L79" s="47"/>
      <c r="M79" s="70"/>
      <c r="N79" s="47"/>
      <c r="O79" s="103"/>
      <c r="P79" s="103" t="str">
        <f t="shared" si="8"/>
        <v/>
      </c>
      <c r="Q79" s="47"/>
      <c r="R79" s="47"/>
    </row>
    <row r="80" spans="1:18" ht="15" customHeight="1" x14ac:dyDescent="0.25">
      <c r="A80" s="47"/>
      <c r="B80" s="47"/>
      <c r="C80" s="47"/>
      <c r="D80" s="47"/>
      <c r="E80" s="47"/>
      <c r="F80" s="47"/>
      <c r="G80" s="47"/>
      <c r="H80" s="47" t="str">
        <f t="shared" si="6"/>
        <v/>
      </c>
      <c r="I80" s="47"/>
      <c r="J80" s="47" t="str">
        <f t="shared" si="7"/>
        <v/>
      </c>
      <c r="K80" s="47"/>
      <c r="L80" s="47"/>
      <c r="M80" s="70"/>
      <c r="N80" s="47"/>
      <c r="O80" s="103"/>
      <c r="P80" s="103" t="str">
        <f t="shared" si="8"/>
        <v/>
      </c>
      <c r="Q80" s="47"/>
      <c r="R80" s="47"/>
    </row>
    <row r="81" spans="1:18" ht="15" customHeight="1" x14ac:dyDescent="0.25">
      <c r="A81" s="47"/>
      <c r="B81" s="47"/>
      <c r="C81" s="47"/>
      <c r="D81" s="47"/>
      <c r="E81" s="47"/>
      <c r="F81" s="47"/>
      <c r="G81" s="47"/>
      <c r="H81" s="47" t="str">
        <f t="shared" si="6"/>
        <v/>
      </c>
      <c r="I81" s="47"/>
      <c r="J81" s="47" t="str">
        <f t="shared" si="7"/>
        <v/>
      </c>
      <c r="K81" s="47"/>
      <c r="L81" s="47"/>
      <c r="M81" s="70"/>
      <c r="N81" s="47"/>
      <c r="O81" s="103"/>
      <c r="P81" s="103" t="str">
        <f t="shared" si="8"/>
        <v/>
      </c>
      <c r="Q81" s="47"/>
      <c r="R81" s="47"/>
    </row>
    <row r="82" spans="1:18" ht="15" customHeight="1" x14ac:dyDescent="0.25">
      <c r="A82" s="47"/>
      <c r="B82" s="47"/>
      <c r="C82" s="47"/>
      <c r="D82" s="47"/>
      <c r="E82" s="47"/>
      <c r="F82" s="47"/>
      <c r="G82" s="47"/>
      <c r="H82" s="47" t="str">
        <f t="shared" si="6"/>
        <v/>
      </c>
      <c r="I82" s="47"/>
      <c r="J82" s="47" t="str">
        <f t="shared" si="7"/>
        <v/>
      </c>
      <c r="K82" s="47"/>
      <c r="L82" s="47"/>
      <c r="M82" s="70"/>
      <c r="N82" s="47"/>
      <c r="O82" s="103"/>
      <c r="P82" s="103" t="str">
        <f t="shared" si="8"/>
        <v/>
      </c>
      <c r="Q82" s="47"/>
      <c r="R82" s="47"/>
    </row>
    <row r="83" spans="1:18" ht="15" customHeight="1" x14ac:dyDescent="0.25">
      <c r="A83" s="47"/>
      <c r="B83" s="47"/>
      <c r="C83" s="47"/>
      <c r="D83" s="47"/>
      <c r="E83" s="47"/>
      <c r="F83" s="47"/>
      <c r="G83" s="47"/>
      <c r="H83" s="47" t="str">
        <f t="shared" si="6"/>
        <v/>
      </c>
      <c r="I83" s="47"/>
      <c r="J83" s="47" t="str">
        <f t="shared" si="7"/>
        <v/>
      </c>
      <c r="K83" s="47"/>
      <c r="L83" s="47"/>
      <c r="M83" s="70"/>
      <c r="N83" s="47"/>
      <c r="O83" s="103"/>
      <c r="P83" s="103" t="str">
        <f t="shared" si="8"/>
        <v/>
      </c>
      <c r="Q83" s="47"/>
      <c r="R83" s="47"/>
    </row>
    <row r="84" spans="1:18" ht="15" customHeight="1" x14ac:dyDescent="0.25">
      <c r="A84" s="47"/>
      <c r="B84" s="47"/>
      <c r="C84" s="47"/>
      <c r="D84" s="47"/>
      <c r="E84" s="47"/>
      <c r="F84" s="47"/>
      <c r="G84" s="47"/>
      <c r="H84" s="47" t="str">
        <f t="shared" si="6"/>
        <v/>
      </c>
      <c r="I84" s="47"/>
      <c r="J84" s="47" t="str">
        <f t="shared" si="7"/>
        <v/>
      </c>
      <c r="K84" s="47"/>
      <c r="L84" s="47"/>
      <c r="M84" s="70"/>
      <c r="N84" s="47"/>
      <c r="O84" s="103"/>
      <c r="P84" s="103" t="str">
        <f t="shared" si="8"/>
        <v/>
      </c>
      <c r="Q84" s="47"/>
      <c r="R84" s="47"/>
    </row>
    <row r="85" spans="1:18" ht="15" customHeight="1" x14ac:dyDescent="0.25">
      <c r="A85" s="47"/>
      <c r="B85" s="47"/>
      <c r="C85" s="47"/>
      <c r="D85" s="47"/>
      <c r="E85" s="47"/>
      <c r="F85" s="47"/>
      <c r="G85" s="47"/>
      <c r="H85" s="47" t="str">
        <f t="shared" si="6"/>
        <v/>
      </c>
      <c r="I85" s="47"/>
      <c r="J85" s="47" t="str">
        <f t="shared" si="7"/>
        <v/>
      </c>
      <c r="K85" s="47"/>
      <c r="L85" s="47"/>
      <c r="M85" s="70"/>
      <c r="N85" s="47"/>
      <c r="O85" s="103"/>
      <c r="P85" s="103" t="str">
        <f t="shared" si="8"/>
        <v/>
      </c>
      <c r="Q85" s="47"/>
      <c r="R85" s="47"/>
    </row>
    <row r="86" spans="1:18" ht="15" customHeight="1" x14ac:dyDescent="0.25">
      <c r="A86" s="47"/>
      <c r="B86" s="47"/>
      <c r="C86" s="47"/>
      <c r="D86" s="47"/>
      <c r="E86" s="47"/>
      <c r="F86" s="47"/>
      <c r="G86" s="47"/>
      <c r="H86" s="47" t="str">
        <f t="shared" si="6"/>
        <v/>
      </c>
      <c r="I86" s="47"/>
      <c r="J86" s="47" t="str">
        <f t="shared" si="7"/>
        <v/>
      </c>
      <c r="K86" s="47"/>
      <c r="L86" s="47"/>
      <c r="M86" s="70"/>
      <c r="N86" s="47"/>
      <c r="O86" s="103"/>
      <c r="P86" s="103" t="str">
        <f t="shared" si="8"/>
        <v/>
      </c>
      <c r="Q86" s="47"/>
      <c r="R86" s="47"/>
    </row>
    <row r="87" spans="1:18" ht="15" customHeight="1" x14ac:dyDescent="0.25">
      <c r="A87" s="47"/>
      <c r="B87" s="47"/>
      <c r="C87" s="47"/>
      <c r="D87" s="47"/>
      <c r="E87" s="47"/>
      <c r="F87" s="47"/>
      <c r="G87" s="47"/>
      <c r="H87" s="47" t="str">
        <f t="shared" si="6"/>
        <v/>
      </c>
      <c r="I87" s="47"/>
      <c r="J87" s="47" t="str">
        <f t="shared" si="7"/>
        <v/>
      </c>
      <c r="K87" s="47"/>
      <c r="L87" s="47"/>
      <c r="M87" s="70"/>
      <c r="N87" s="47"/>
      <c r="O87" s="103"/>
      <c r="P87" s="103" t="str">
        <f t="shared" si="8"/>
        <v/>
      </c>
      <c r="Q87" s="47"/>
      <c r="R87" s="47"/>
    </row>
    <row r="88" spans="1:18" ht="15" customHeight="1" x14ac:dyDescent="0.25">
      <c r="A88" s="47"/>
      <c r="B88" s="47"/>
      <c r="C88" s="47"/>
      <c r="D88" s="47"/>
      <c r="E88" s="47"/>
      <c r="F88" s="47"/>
      <c r="G88" s="47"/>
      <c r="H88" s="47" t="str">
        <f t="shared" si="6"/>
        <v/>
      </c>
      <c r="I88" s="47"/>
      <c r="J88" s="47" t="str">
        <f t="shared" si="7"/>
        <v/>
      </c>
      <c r="K88" s="47"/>
      <c r="L88" s="47"/>
      <c r="M88" s="70"/>
      <c r="N88" s="47"/>
      <c r="O88" s="103"/>
      <c r="P88" s="103" t="str">
        <f t="shared" si="8"/>
        <v/>
      </c>
      <c r="Q88" s="47"/>
      <c r="R88" s="47"/>
    </row>
    <row r="89" spans="1:18" ht="15" customHeight="1" x14ac:dyDescent="0.25">
      <c r="A89" s="47"/>
      <c r="B89" s="47"/>
      <c r="C89" s="47"/>
      <c r="D89" s="47"/>
      <c r="E89" s="47"/>
      <c r="F89" s="47"/>
      <c r="G89" s="47"/>
      <c r="H89" s="47" t="str">
        <f t="shared" si="6"/>
        <v/>
      </c>
      <c r="I89" s="47"/>
      <c r="J89" s="47" t="str">
        <f t="shared" si="7"/>
        <v/>
      </c>
      <c r="K89" s="47"/>
      <c r="L89" s="47"/>
      <c r="M89" s="70"/>
      <c r="N89" s="47"/>
      <c r="O89" s="103"/>
      <c r="P89" s="103" t="str">
        <f t="shared" si="8"/>
        <v/>
      </c>
      <c r="Q89" s="47"/>
      <c r="R89" s="47"/>
    </row>
    <row r="90" spans="1:18" ht="15" customHeight="1" x14ac:dyDescent="0.25">
      <c r="A90" s="47"/>
      <c r="B90" s="47"/>
      <c r="C90" s="47"/>
      <c r="D90" s="47"/>
      <c r="E90" s="47"/>
      <c r="F90" s="47"/>
      <c r="G90" s="47"/>
      <c r="H90" s="47" t="str">
        <f t="shared" si="6"/>
        <v/>
      </c>
      <c r="I90" s="47"/>
      <c r="J90" s="47" t="str">
        <f t="shared" si="7"/>
        <v/>
      </c>
      <c r="K90" s="47"/>
      <c r="L90" s="47"/>
      <c r="M90" s="70"/>
      <c r="N90" s="47"/>
      <c r="O90" s="103"/>
      <c r="P90" s="103" t="str">
        <f t="shared" si="8"/>
        <v/>
      </c>
      <c r="Q90" s="47"/>
      <c r="R90" s="47"/>
    </row>
    <row r="91" spans="1:18" ht="15" customHeight="1" x14ac:dyDescent="0.25">
      <c r="A91" s="47"/>
      <c r="B91" s="47"/>
      <c r="C91" s="47"/>
      <c r="D91" s="47"/>
      <c r="E91" s="47"/>
      <c r="F91" s="47"/>
      <c r="G91" s="47"/>
      <c r="H91" s="47" t="str">
        <f t="shared" si="6"/>
        <v/>
      </c>
      <c r="I91" s="47"/>
      <c r="J91" s="47" t="str">
        <f t="shared" si="7"/>
        <v/>
      </c>
      <c r="K91" s="47"/>
      <c r="L91" s="47"/>
      <c r="M91" s="70"/>
      <c r="N91" s="47"/>
      <c r="O91" s="103"/>
      <c r="P91" s="103" t="str">
        <f t="shared" si="8"/>
        <v/>
      </c>
      <c r="Q91" s="47"/>
      <c r="R91" s="47"/>
    </row>
    <row r="92" spans="1:18" ht="15" customHeight="1" x14ac:dyDescent="0.25">
      <c r="A92" s="47"/>
      <c r="B92" s="47"/>
      <c r="C92" s="47"/>
      <c r="D92" s="47"/>
      <c r="E92" s="47"/>
      <c r="F92" s="47"/>
      <c r="G92" s="47"/>
      <c r="H92" s="47" t="str">
        <f t="shared" si="6"/>
        <v/>
      </c>
      <c r="I92" s="47"/>
      <c r="J92" s="47" t="str">
        <f t="shared" si="7"/>
        <v/>
      </c>
      <c r="K92" s="47"/>
      <c r="L92" s="47"/>
      <c r="M92" s="70"/>
      <c r="N92" s="47"/>
      <c r="O92" s="103"/>
      <c r="P92" s="103" t="str">
        <f t="shared" si="8"/>
        <v/>
      </c>
      <c r="Q92" s="47"/>
      <c r="R92" s="47"/>
    </row>
    <row r="93" spans="1:18" ht="15" customHeight="1" x14ac:dyDescent="0.25">
      <c r="A93" s="47"/>
      <c r="B93" s="47"/>
      <c r="C93" s="47"/>
      <c r="D93" s="47"/>
      <c r="E93" s="47"/>
      <c r="F93" s="47"/>
      <c r="G93" s="47"/>
      <c r="H93" s="47" t="str">
        <f t="shared" si="6"/>
        <v/>
      </c>
      <c r="I93" s="47"/>
      <c r="J93" s="47" t="str">
        <f t="shared" si="7"/>
        <v/>
      </c>
      <c r="K93" s="47"/>
      <c r="L93" s="47"/>
      <c r="M93" s="70"/>
      <c r="N93" s="47"/>
      <c r="O93" s="103"/>
      <c r="P93" s="103" t="str">
        <f t="shared" si="8"/>
        <v/>
      </c>
      <c r="Q93" s="47"/>
      <c r="R93" s="47"/>
    </row>
    <row r="94" spans="1:18" ht="15" customHeight="1" x14ac:dyDescent="0.25">
      <c r="A94" s="47"/>
      <c r="B94" s="47"/>
      <c r="C94" s="47"/>
      <c r="D94" s="47"/>
      <c r="E94" s="47"/>
      <c r="F94" s="47"/>
      <c r="G94" s="47"/>
      <c r="H94" s="47" t="str">
        <f t="shared" si="6"/>
        <v/>
      </c>
      <c r="I94" s="47"/>
      <c r="J94" s="47" t="str">
        <f t="shared" si="7"/>
        <v/>
      </c>
      <c r="K94" s="47"/>
      <c r="L94" s="47"/>
      <c r="M94" s="70"/>
      <c r="N94" s="47"/>
      <c r="O94" s="103"/>
      <c r="P94" s="103" t="str">
        <f t="shared" si="8"/>
        <v/>
      </c>
      <c r="Q94" s="47"/>
      <c r="R94" s="47"/>
    </row>
    <row r="95" spans="1:18" ht="15" customHeight="1" x14ac:dyDescent="0.25">
      <c r="A95" s="47"/>
      <c r="B95" s="47"/>
      <c r="C95" s="47"/>
      <c r="D95" s="47"/>
      <c r="E95" s="47"/>
      <c r="F95" s="47"/>
      <c r="G95" s="47"/>
      <c r="H95" s="47" t="str">
        <f t="shared" si="6"/>
        <v/>
      </c>
      <c r="I95" s="47"/>
      <c r="J95" s="47" t="str">
        <f t="shared" si="7"/>
        <v/>
      </c>
      <c r="K95" s="47"/>
      <c r="L95" s="47"/>
      <c r="M95" s="70"/>
      <c r="N95" s="47"/>
      <c r="O95" s="103"/>
      <c r="P95" s="103" t="str">
        <f t="shared" si="8"/>
        <v/>
      </c>
      <c r="Q95" s="47"/>
      <c r="R95" s="47"/>
    </row>
    <row r="96" spans="1:18" ht="15" customHeight="1" x14ac:dyDescent="0.25">
      <c r="A96" s="47"/>
      <c r="B96" s="47"/>
      <c r="C96" s="47"/>
      <c r="D96" s="47"/>
      <c r="E96" s="47"/>
      <c r="F96" s="47"/>
      <c r="G96" s="47"/>
      <c r="H96" s="47" t="str">
        <f t="shared" si="6"/>
        <v/>
      </c>
      <c r="I96" s="47"/>
      <c r="J96" s="47" t="str">
        <f t="shared" si="7"/>
        <v/>
      </c>
      <c r="K96" s="47"/>
      <c r="L96" s="47"/>
      <c r="M96" s="70"/>
      <c r="N96" s="47"/>
      <c r="O96" s="103"/>
      <c r="P96" s="103" t="str">
        <f t="shared" si="8"/>
        <v/>
      </c>
      <c r="Q96" s="47"/>
      <c r="R96" s="47"/>
    </row>
    <row r="97" spans="1:18" ht="15" customHeight="1" x14ac:dyDescent="0.25">
      <c r="A97" s="47"/>
      <c r="B97" s="47"/>
      <c r="C97" s="47"/>
      <c r="D97" s="47"/>
      <c r="E97" s="47"/>
      <c r="F97" s="47"/>
      <c r="G97" s="47"/>
      <c r="H97" s="47" t="str">
        <f t="shared" si="6"/>
        <v/>
      </c>
      <c r="I97" s="47"/>
      <c r="J97" s="47" t="str">
        <f t="shared" si="7"/>
        <v/>
      </c>
      <c r="K97" s="47"/>
      <c r="L97" s="47"/>
      <c r="M97" s="70"/>
      <c r="N97" s="47"/>
      <c r="O97" s="103"/>
      <c r="P97" s="103" t="str">
        <f t="shared" si="8"/>
        <v/>
      </c>
      <c r="Q97" s="47"/>
      <c r="R97" s="47"/>
    </row>
    <row r="98" spans="1:18" ht="15" customHeight="1" x14ac:dyDescent="0.25">
      <c r="A98" s="47"/>
      <c r="B98" s="47"/>
      <c r="C98" s="47"/>
      <c r="D98" s="47"/>
      <c r="E98" s="47"/>
      <c r="F98" s="47"/>
      <c r="G98" s="47"/>
      <c r="H98" s="47" t="str">
        <f t="shared" si="6"/>
        <v/>
      </c>
      <c r="I98" s="47"/>
      <c r="J98" s="47" t="str">
        <f t="shared" si="7"/>
        <v/>
      </c>
      <c r="K98" s="47"/>
      <c r="L98" s="47"/>
      <c r="M98" s="70"/>
      <c r="N98" s="47"/>
      <c r="O98" s="103"/>
      <c r="P98" s="103" t="str">
        <f t="shared" si="8"/>
        <v/>
      </c>
      <c r="Q98" s="47"/>
      <c r="R98" s="47"/>
    </row>
    <row r="99" spans="1:18" ht="15" customHeight="1" x14ac:dyDescent="0.25">
      <c r="A99" s="47"/>
      <c r="B99" s="47"/>
      <c r="C99" s="47"/>
      <c r="D99" s="47"/>
      <c r="E99" s="47"/>
      <c r="F99" s="47"/>
      <c r="G99" s="47"/>
      <c r="H99" s="47" t="str">
        <f t="shared" si="6"/>
        <v/>
      </c>
      <c r="I99" s="47"/>
      <c r="J99" s="47" t="str">
        <f t="shared" si="7"/>
        <v/>
      </c>
      <c r="K99" s="47"/>
      <c r="L99" s="47"/>
      <c r="M99" s="70"/>
      <c r="N99" s="47"/>
      <c r="O99" s="103"/>
      <c r="P99" s="103" t="str">
        <f t="shared" si="8"/>
        <v/>
      </c>
      <c r="Q99" s="47"/>
      <c r="R99" s="47"/>
    </row>
    <row r="100" spans="1:18" ht="15" customHeight="1" x14ac:dyDescent="0.25">
      <c r="A100" s="47"/>
      <c r="B100" s="47"/>
      <c r="C100" s="47"/>
      <c r="D100" s="47"/>
      <c r="E100" s="47"/>
      <c r="F100" s="47"/>
      <c r="G100" s="47"/>
      <c r="H100" s="47" t="str">
        <f t="shared" si="6"/>
        <v/>
      </c>
      <c r="I100" s="47"/>
      <c r="J100" s="47" t="str">
        <f t="shared" si="7"/>
        <v/>
      </c>
      <c r="K100" s="47"/>
      <c r="L100" s="47"/>
      <c r="M100" s="70"/>
      <c r="N100" s="47"/>
      <c r="O100" s="103"/>
      <c r="P100" s="103" t="str">
        <f t="shared" si="8"/>
        <v/>
      </c>
      <c r="Q100" s="47"/>
      <c r="R100" s="47"/>
    </row>
    <row r="101" spans="1:18" ht="15" customHeight="1" x14ac:dyDescent="0.25">
      <c r="A101" s="47"/>
      <c r="B101" s="47"/>
      <c r="C101" s="47"/>
      <c r="D101" s="47"/>
      <c r="E101" s="47"/>
      <c r="F101" s="47"/>
      <c r="G101" s="47"/>
      <c r="H101" s="47" t="str">
        <f t="shared" ref="H101:H132" si="9">IF(A101="","",E101+F101-G101)</f>
        <v/>
      </c>
      <c r="I101" s="47"/>
      <c r="J101" s="47" t="str">
        <f t="shared" ref="J101:J132" si="10">IF(A101="","",IF(H101&lt;=0,"Out of Stock",IF(H101&lt;=I101,"Reorder","Available")))</f>
        <v/>
      </c>
      <c r="K101" s="47"/>
      <c r="L101" s="47"/>
      <c r="M101" s="70"/>
      <c r="N101" s="47"/>
      <c r="O101" s="103"/>
      <c r="P101" s="103" t="str">
        <f t="shared" ref="P101:P132" si="11">IF(A101="","",H101*O101)</f>
        <v/>
      </c>
      <c r="Q101" s="47"/>
      <c r="R101" s="47"/>
    </row>
    <row r="102" spans="1:18" ht="15" customHeight="1" x14ac:dyDescent="0.25">
      <c r="A102" s="47"/>
      <c r="B102" s="47"/>
      <c r="C102" s="47"/>
      <c r="D102" s="47"/>
      <c r="E102" s="47"/>
      <c r="F102" s="47"/>
      <c r="G102" s="47"/>
      <c r="H102" s="47" t="str">
        <f t="shared" si="9"/>
        <v/>
      </c>
      <c r="I102" s="47"/>
      <c r="J102" s="47" t="str">
        <f t="shared" si="10"/>
        <v/>
      </c>
      <c r="K102" s="47"/>
      <c r="L102" s="47"/>
      <c r="M102" s="70"/>
      <c r="N102" s="47"/>
      <c r="O102" s="103"/>
      <c r="P102" s="103" t="str">
        <f t="shared" si="11"/>
        <v/>
      </c>
      <c r="Q102" s="47"/>
      <c r="R102" s="47"/>
    </row>
    <row r="103" spans="1:18" ht="15" customHeight="1" x14ac:dyDescent="0.25">
      <c r="A103" s="47"/>
      <c r="B103" s="47"/>
      <c r="C103" s="47"/>
      <c r="D103" s="47"/>
      <c r="E103" s="47"/>
      <c r="F103" s="47"/>
      <c r="G103" s="47"/>
      <c r="H103" s="47" t="str">
        <f t="shared" si="9"/>
        <v/>
      </c>
      <c r="I103" s="47"/>
      <c r="J103" s="47" t="str">
        <f t="shared" si="10"/>
        <v/>
      </c>
      <c r="K103" s="47"/>
      <c r="L103" s="47"/>
      <c r="M103" s="70"/>
      <c r="N103" s="47"/>
      <c r="O103" s="103"/>
      <c r="P103" s="103" t="str">
        <f t="shared" si="11"/>
        <v/>
      </c>
      <c r="Q103" s="47"/>
      <c r="R103" s="47"/>
    </row>
    <row r="104" spans="1:18" ht="15" customHeight="1" x14ac:dyDescent="0.25">
      <c r="A104" s="47"/>
      <c r="B104" s="47"/>
      <c r="C104" s="47"/>
      <c r="D104" s="47"/>
      <c r="E104" s="47"/>
      <c r="F104" s="47"/>
      <c r="G104" s="47"/>
      <c r="H104" s="47" t="str">
        <f t="shared" si="9"/>
        <v/>
      </c>
      <c r="I104" s="47"/>
      <c r="J104" s="47" t="str">
        <f t="shared" si="10"/>
        <v/>
      </c>
      <c r="K104" s="47"/>
      <c r="L104" s="47"/>
      <c r="M104" s="70"/>
      <c r="N104" s="47"/>
      <c r="O104" s="103"/>
      <c r="P104" s="103" t="str">
        <f t="shared" si="11"/>
        <v/>
      </c>
      <c r="Q104" s="47"/>
      <c r="R104" s="47"/>
    </row>
  </sheetData>
  <mergeCells count="1">
    <mergeCell ref="A1:R2"/>
  </mergeCells>
  <conditionalFormatting sqref="J5:J104">
    <cfRule type="expression" dxfId="7" priority="2">
      <formula>$J5="Available"</formula>
    </cfRule>
    <cfRule type="expression" dxfId="6" priority="3">
      <formula>$J5="Reorder"</formula>
    </cfRule>
    <cfRule type="expression" dxfId="5" priority="4">
      <formula>$J5="Out of Stock"</formula>
    </cfRule>
  </conditionalFormatting>
  <dataValidations count="2">
    <dataValidation type="list" allowBlank="1" sqref="B5:B200" xr:uid="{00000000-0002-0000-1200-000000000000}">
      <formula1>"SBFP Food,SBFP Supplies,Office Supply,ICT Equipment,Learning Materials,Cleaning Supplies,Other"</formula1>
      <formula2>0</formula2>
    </dataValidation>
    <dataValidation type="list" allowBlank="1" sqref="R5:R200" xr:uid="{00000000-0002-0000-1200-000001000000}">
      <formula1>"SBFP,General,DRRM,Clinic,ICT,Learning"</formula1>
      <formula2>0</formula2>
    </dataValidation>
  </dataValidations>
  <pageMargins left="0.25" right="0.25" top="0.4" bottom="0.4" header="0.511811023622047" footer="0.511811023622047"/>
  <pageSetup paperSize="9" orientation="landscape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7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28" customWidth="1"/>
    <col min="3" max="6" width="14" customWidth="1"/>
    <col min="7" max="7" width="24" customWidth="1"/>
    <col min="8" max="8" width="14" customWidth="1"/>
    <col min="9" max="11" width="16" customWidth="1"/>
    <col min="12" max="12" width="15" customWidth="1"/>
    <col min="13" max="13" width="22" customWidth="1"/>
  </cols>
  <sheetData>
    <row r="1" spans="1:13" ht="21.75" customHeight="1" x14ac:dyDescent="0.25">
      <c r="A1" s="104" t="s">
        <v>522</v>
      </c>
      <c r="B1" s="104" t="s">
        <v>524</v>
      </c>
      <c r="C1" s="104" t="s">
        <v>99</v>
      </c>
      <c r="D1" s="104" t="s">
        <v>100</v>
      </c>
      <c r="E1" s="104" t="s">
        <v>507</v>
      </c>
      <c r="F1" s="104" t="s">
        <v>128</v>
      </c>
      <c r="G1" s="104" t="s">
        <v>1058</v>
      </c>
      <c r="H1" s="104" t="s">
        <v>58</v>
      </c>
      <c r="I1" s="104" t="s">
        <v>1059</v>
      </c>
      <c r="J1" s="104" t="s">
        <v>1060</v>
      </c>
      <c r="K1" s="104" t="s">
        <v>56</v>
      </c>
      <c r="L1" s="104" t="s">
        <v>1061</v>
      </c>
      <c r="M1" s="104" t="s">
        <v>59</v>
      </c>
    </row>
    <row r="2" spans="1:13" ht="21.75" customHeight="1" x14ac:dyDescent="0.25">
      <c r="A2" s="29">
        <v>1</v>
      </c>
      <c r="B2" s="29" t="s">
        <v>107</v>
      </c>
      <c r="C2" s="29" t="s">
        <v>12</v>
      </c>
      <c r="D2" s="29" t="s">
        <v>106</v>
      </c>
      <c r="E2" s="29" t="s">
        <v>16</v>
      </c>
      <c r="F2" s="29" t="s">
        <v>14</v>
      </c>
      <c r="G2" s="29" t="s">
        <v>1062</v>
      </c>
      <c r="H2" s="30" t="s">
        <v>1063</v>
      </c>
      <c r="I2" s="30" t="s">
        <v>1064</v>
      </c>
      <c r="J2" s="29" t="s">
        <v>1065</v>
      </c>
      <c r="K2" s="29" t="str">
        <f t="shared" ref="K2:K7" ca="1" si="0">IF(I2&lt;&gt;"",IF(J2="Returned","Returned",IF(J2="For Checking","For Checking","Submitted")),IF(TODAY()&gt;H2,"Overdue","Due Soon"))</f>
        <v>Submitted</v>
      </c>
      <c r="L2" s="29" t="str">
        <f t="shared" ref="L2:L7" ca="1" si="1">IF(I2&lt;&gt;"","Submitted",H2-TODAY())</f>
        <v>Submitted</v>
      </c>
      <c r="M2" s="29" t="s">
        <v>1066</v>
      </c>
    </row>
    <row r="3" spans="1:13" ht="21.75" customHeight="1" x14ac:dyDescent="0.25">
      <c r="A3" s="29">
        <v>2</v>
      </c>
      <c r="B3" s="29" t="s">
        <v>109</v>
      </c>
      <c r="C3" s="29" t="s">
        <v>23</v>
      </c>
      <c r="D3" s="29" t="s">
        <v>108</v>
      </c>
      <c r="E3" s="29" t="s">
        <v>16</v>
      </c>
      <c r="F3" s="29" t="s">
        <v>14</v>
      </c>
      <c r="G3" s="29" t="s">
        <v>1062</v>
      </c>
      <c r="H3" s="30" t="s">
        <v>1063</v>
      </c>
      <c r="I3" s="30"/>
      <c r="J3" s="29"/>
      <c r="K3" s="29" t="str">
        <f t="shared" ca="1" si="0"/>
        <v>Due Soon</v>
      </c>
      <c r="L3" s="29">
        <f t="shared" ca="1" si="1"/>
        <v>1</v>
      </c>
      <c r="M3" s="29"/>
    </row>
    <row r="4" spans="1:13" ht="21.75" customHeight="1" x14ac:dyDescent="0.25">
      <c r="A4" s="29">
        <v>3</v>
      </c>
      <c r="B4" s="29" t="s">
        <v>111</v>
      </c>
      <c r="C4" s="29" t="s">
        <v>26</v>
      </c>
      <c r="D4" s="29" t="s">
        <v>110</v>
      </c>
      <c r="E4" s="29" t="s">
        <v>16</v>
      </c>
      <c r="F4" s="29" t="s">
        <v>14</v>
      </c>
      <c r="G4" s="29" t="s">
        <v>1062</v>
      </c>
      <c r="H4" s="30" t="s">
        <v>1063</v>
      </c>
      <c r="I4" s="30" t="s">
        <v>1064</v>
      </c>
      <c r="J4" s="29" t="s">
        <v>1065</v>
      </c>
      <c r="K4" s="29" t="str">
        <f t="shared" ca="1" si="0"/>
        <v>Submitted</v>
      </c>
      <c r="L4" s="29" t="str">
        <f t="shared" ca="1" si="1"/>
        <v>Submitted</v>
      </c>
      <c r="M4" s="29" t="s">
        <v>1066</v>
      </c>
    </row>
    <row r="5" spans="1:13" ht="21.75" customHeight="1" x14ac:dyDescent="0.25">
      <c r="A5" s="29">
        <v>4</v>
      </c>
      <c r="B5" s="29" t="s">
        <v>113</v>
      </c>
      <c r="C5" s="29" t="s">
        <v>39</v>
      </c>
      <c r="D5" s="29" t="s">
        <v>112</v>
      </c>
      <c r="E5" s="29" t="s">
        <v>16</v>
      </c>
      <c r="F5" s="29" t="s">
        <v>14</v>
      </c>
      <c r="G5" s="29" t="s">
        <v>1062</v>
      </c>
      <c r="H5" s="30" t="s">
        <v>1063</v>
      </c>
      <c r="I5" s="30" t="s">
        <v>1067</v>
      </c>
      <c r="J5" s="29" t="s">
        <v>40</v>
      </c>
      <c r="K5" s="29" t="str">
        <f t="shared" ca="1" si="0"/>
        <v>For Checking</v>
      </c>
      <c r="L5" s="29" t="str">
        <f t="shared" ca="1" si="1"/>
        <v>Submitted</v>
      </c>
      <c r="M5" s="29" t="s">
        <v>1068</v>
      </c>
    </row>
    <row r="6" spans="1:13" ht="21.75" customHeight="1" x14ac:dyDescent="0.25">
      <c r="A6" s="29">
        <v>5</v>
      </c>
      <c r="B6" s="29" t="s">
        <v>115</v>
      </c>
      <c r="C6" s="29" t="s">
        <v>42</v>
      </c>
      <c r="D6" s="29" t="s">
        <v>114</v>
      </c>
      <c r="E6" s="29" t="s">
        <v>16</v>
      </c>
      <c r="F6" s="29" t="s">
        <v>14</v>
      </c>
      <c r="G6" s="29" t="s">
        <v>1062</v>
      </c>
      <c r="H6" s="30" t="s">
        <v>1069</v>
      </c>
      <c r="I6" s="30"/>
      <c r="J6" s="29"/>
      <c r="K6" s="29" t="str">
        <f t="shared" ca="1" si="0"/>
        <v>Due Soon</v>
      </c>
      <c r="L6" s="29">
        <f t="shared" ca="1" si="1"/>
        <v>-9</v>
      </c>
      <c r="M6" s="29"/>
    </row>
    <row r="7" spans="1:13" ht="21.75" customHeight="1" x14ac:dyDescent="0.25">
      <c r="A7" s="29">
        <v>6</v>
      </c>
      <c r="B7" s="29" t="s">
        <v>117</v>
      </c>
      <c r="C7" s="29" t="s">
        <v>44</v>
      </c>
      <c r="D7" s="29" t="s">
        <v>116</v>
      </c>
      <c r="E7" s="29" t="s">
        <v>16</v>
      </c>
      <c r="F7" s="29" t="s">
        <v>14</v>
      </c>
      <c r="G7" s="29" t="s">
        <v>1062</v>
      </c>
      <c r="H7" s="30" t="s">
        <v>1063</v>
      </c>
      <c r="I7" s="30" t="s">
        <v>1070</v>
      </c>
      <c r="J7" s="29" t="s">
        <v>43</v>
      </c>
      <c r="K7" s="29" t="str">
        <f t="shared" ca="1" si="0"/>
        <v>Returned</v>
      </c>
      <c r="L7" s="29" t="str">
        <f t="shared" ca="1" si="1"/>
        <v>Submitted</v>
      </c>
      <c r="M7" s="29" t="s">
        <v>505</v>
      </c>
    </row>
    <row r="8" spans="1:13" ht="21.75" customHeight="1" x14ac:dyDescent="0.25"/>
    <row r="9" spans="1:13" ht="21.75" customHeight="1" x14ac:dyDescent="0.25"/>
    <row r="10" spans="1:13" ht="21.75" customHeight="1" x14ac:dyDescent="0.25"/>
    <row r="11" spans="1:13" ht="21.75" customHeight="1" x14ac:dyDescent="0.25"/>
    <row r="12" spans="1:13" ht="21.75" customHeight="1" x14ac:dyDescent="0.25"/>
    <row r="13" spans="1:13" ht="21.75" customHeight="1" x14ac:dyDescent="0.25"/>
    <row r="14" spans="1:13" ht="21.75" customHeight="1" x14ac:dyDescent="0.25"/>
    <row r="15" spans="1:13" ht="21.75" customHeight="1" x14ac:dyDescent="0.25"/>
    <row r="16" spans="1:13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</sheetData>
  <conditionalFormatting sqref="K2:K200">
    <cfRule type="expression" dxfId="4" priority="2">
      <formula>$K2="Submitted"</formula>
    </cfRule>
    <cfRule type="expression" dxfId="3" priority="3">
      <formula>$K2="Due Soon"</formula>
    </cfRule>
    <cfRule type="expression" dxfId="2" priority="4">
      <formula>$K2="Overdue"</formula>
    </cfRule>
    <cfRule type="expression" dxfId="1" priority="5">
      <formula>$K2="For Checking"</formula>
    </cfRule>
    <cfRule type="expression" dxfId="0" priority="6">
      <formula>$K2="Returned"</formula>
    </cfRule>
  </conditionalFormatting>
  <dataValidations count="1">
    <dataValidation type="list" allowBlank="1" sqref="J2:J200" xr:uid="{00000000-0002-0000-1300-000000000000}">
      <formula1>"Approved,For Checking,Returned"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8" customWidth="1"/>
    <col min="3" max="3" width="22" customWidth="1"/>
    <col min="4" max="4" width="8" customWidth="1"/>
    <col min="5" max="5" width="12" customWidth="1"/>
    <col min="6" max="6" width="14" customWidth="1"/>
    <col min="7" max="7" width="28" customWidth="1"/>
    <col min="8" max="8" width="14" customWidth="1"/>
    <col min="9" max="9" width="12" customWidth="1"/>
    <col min="10" max="11" width="14" customWidth="1"/>
  </cols>
  <sheetData>
    <row r="1" spans="1:11" ht="21.75" customHeight="1" x14ac:dyDescent="0.25">
      <c r="A1" s="105" t="s">
        <v>119</v>
      </c>
      <c r="B1" s="105" t="s">
        <v>120</v>
      </c>
      <c r="C1" s="105" t="s">
        <v>527</v>
      </c>
      <c r="D1" s="105" t="s">
        <v>125</v>
      </c>
      <c r="E1" s="105" t="s">
        <v>99</v>
      </c>
      <c r="F1" s="105" t="s">
        <v>100</v>
      </c>
      <c r="G1" s="105" t="s">
        <v>103</v>
      </c>
      <c r="H1" s="105" t="s">
        <v>128</v>
      </c>
      <c r="I1" s="105" t="s">
        <v>56</v>
      </c>
      <c r="J1" s="105" t="s">
        <v>135</v>
      </c>
      <c r="K1" s="105" t="s">
        <v>136</v>
      </c>
    </row>
    <row r="2" spans="1:11" ht="21.75" customHeight="1" x14ac:dyDescent="0.25">
      <c r="A2" s="84">
        <v>1</v>
      </c>
      <c r="B2" s="84" t="s">
        <v>138</v>
      </c>
      <c r="C2" s="84" t="s">
        <v>535</v>
      </c>
      <c r="D2" s="84"/>
      <c r="E2" s="84" t="s">
        <v>9</v>
      </c>
      <c r="F2" s="84" t="s">
        <v>104</v>
      </c>
      <c r="G2" s="84" t="s">
        <v>105</v>
      </c>
      <c r="H2" s="84" t="s">
        <v>14</v>
      </c>
      <c r="I2" s="84" t="s">
        <v>101</v>
      </c>
      <c r="J2" s="106">
        <v>46230</v>
      </c>
      <c r="K2" s="84" t="s">
        <v>1071</v>
      </c>
    </row>
    <row r="3" spans="1:11" ht="21.75" customHeight="1" x14ac:dyDescent="0.25">
      <c r="A3" s="84">
        <v>2</v>
      </c>
      <c r="B3" s="84" t="s">
        <v>143</v>
      </c>
      <c r="C3" s="84" t="s">
        <v>538</v>
      </c>
      <c r="D3" s="84"/>
      <c r="E3" s="84" t="s">
        <v>9</v>
      </c>
      <c r="F3" s="84" t="s">
        <v>104</v>
      </c>
      <c r="G3" s="84" t="s">
        <v>105</v>
      </c>
      <c r="H3" s="84" t="s">
        <v>14</v>
      </c>
      <c r="I3" s="84" t="s">
        <v>101</v>
      </c>
      <c r="J3" s="106">
        <v>46230</v>
      </c>
      <c r="K3" s="84" t="s">
        <v>1071</v>
      </c>
    </row>
    <row r="4" spans="1:11" ht="21.75" customHeight="1" x14ac:dyDescent="0.25">
      <c r="A4" s="84">
        <v>3</v>
      </c>
      <c r="B4" s="84" t="s">
        <v>145</v>
      </c>
      <c r="C4" s="84" t="s">
        <v>539</v>
      </c>
      <c r="D4" s="84"/>
      <c r="E4" s="84" t="s">
        <v>9</v>
      </c>
      <c r="F4" s="84" t="s">
        <v>104</v>
      </c>
      <c r="G4" s="84" t="s">
        <v>105</v>
      </c>
      <c r="H4" s="84" t="s">
        <v>14</v>
      </c>
      <c r="I4" s="84" t="s">
        <v>101</v>
      </c>
      <c r="J4" s="106">
        <v>46230</v>
      </c>
      <c r="K4" s="84" t="s">
        <v>1071</v>
      </c>
    </row>
    <row r="5" spans="1:11" ht="21.75" customHeight="1" x14ac:dyDescent="0.25">
      <c r="A5" s="84">
        <v>4</v>
      </c>
      <c r="B5" s="84" t="s">
        <v>147</v>
      </c>
      <c r="C5" s="84" t="s">
        <v>540</v>
      </c>
      <c r="D5" s="84"/>
      <c r="E5" s="84" t="s">
        <v>9</v>
      </c>
      <c r="F5" s="84" t="s">
        <v>104</v>
      </c>
      <c r="G5" s="84" t="s">
        <v>105</v>
      </c>
      <c r="H5" s="84" t="s">
        <v>14</v>
      </c>
      <c r="I5" s="84" t="s">
        <v>101</v>
      </c>
      <c r="J5" s="106">
        <v>46230</v>
      </c>
      <c r="K5" s="84" t="s">
        <v>1071</v>
      </c>
    </row>
    <row r="6" spans="1:11" ht="21.75" customHeight="1" x14ac:dyDescent="0.25">
      <c r="A6" s="84">
        <v>5</v>
      </c>
      <c r="B6" s="84" t="s">
        <v>149</v>
      </c>
      <c r="C6" s="84" t="s">
        <v>541</v>
      </c>
      <c r="D6" s="84"/>
      <c r="E6" s="84" t="s">
        <v>9</v>
      </c>
      <c r="F6" s="84" t="s">
        <v>104</v>
      </c>
      <c r="G6" s="84" t="s">
        <v>105</v>
      </c>
      <c r="H6" s="84" t="s">
        <v>14</v>
      </c>
      <c r="I6" s="84" t="s">
        <v>101</v>
      </c>
      <c r="J6" s="106">
        <v>46230</v>
      </c>
      <c r="K6" s="84" t="s">
        <v>1071</v>
      </c>
    </row>
    <row r="7" spans="1:11" ht="21.75" customHeight="1" x14ac:dyDescent="0.25">
      <c r="A7" s="84">
        <v>6</v>
      </c>
      <c r="B7" s="84" t="s">
        <v>151</v>
      </c>
      <c r="C7" s="84" t="s">
        <v>544</v>
      </c>
      <c r="D7" s="84"/>
      <c r="E7" s="84" t="s">
        <v>9</v>
      </c>
      <c r="F7" s="84" t="s">
        <v>104</v>
      </c>
      <c r="G7" s="84" t="s">
        <v>105</v>
      </c>
      <c r="H7" s="84" t="s">
        <v>14</v>
      </c>
      <c r="I7" s="84" t="s">
        <v>101</v>
      </c>
      <c r="J7" s="106">
        <v>46230</v>
      </c>
      <c r="K7" s="84" t="s">
        <v>1071</v>
      </c>
    </row>
    <row r="8" spans="1:11" ht="21.75" customHeight="1" x14ac:dyDescent="0.25">
      <c r="A8" s="84">
        <v>7</v>
      </c>
      <c r="B8" s="84" t="s">
        <v>153</v>
      </c>
      <c r="C8" s="84" t="s">
        <v>546</v>
      </c>
      <c r="D8" s="84"/>
      <c r="E8" s="84" t="s">
        <v>9</v>
      </c>
      <c r="F8" s="84" t="s">
        <v>104</v>
      </c>
      <c r="G8" s="84" t="s">
        <v>105</v>
      </c>
      <c r="H8" s="84" t="s">
        <v>14</v>
      </c>
      <c r="I8" s="84" t="s">
        <v>101</v>
      </c>
      <c r="J8" s="106">
        <v>46230</v>
      </c>
      <c r="K8" s="84" t="s">
        <v>1071</v>
      </c>
    </row>
    <row r="9" spans="1:11" ht="21.75" customHeight="1" x14ac:dyDescent="0.25">
      <c r="A9" s="84">
        <v>8</v>
      </c>
      <c r="B9" s="84" t="s">
        <v>155</v>
      </c>
      <c r="C9" s="84" t="s">
        <v>547</v>
      </c>
      <c r="D9" s="84"/>
      <c r="E9" s="84" t="s">
        <v>9</v>
      </c>
      <c r="F9" s="84" t="s">
        <v>104</v>
      </c>
      <c r="G9" s="84" t="s">
        <v>105</v>
      </c>
      <c r="H9" s="84" t="s">
        <v>14</v>
      </c>
      <c r="I9" s="84" t="s">
        <v>101</v>
      </c>
      <c r="J9" s="106">
        <v>46230</v>
      </c>
      <c r="K9" s="84" t="s">
        <v>1071</v>
      </c>
    </row>
    <row r="10" spans="1:11" ht="21.75" customHeight="1" x14ac:dyDescent="0.25">
      <c r="A10" s="84">
        <v>9</v>
      </c>
      <c r="B10" s="84" t="s">
        <v>157</v>
      </c>
      <c r="C10" s="84" t="s">
        <v>548</v>
      </c>
      <c r="D10" s="84"/>
      <c r="E10" s="84" t="s">
        <v>9</v>
      </c>
      <c r="F10" s="84" t="s">
        <v>104</v>
      </c>
      <c r="G10" s="84" t="s">
        <v>105</v>
      </c>
      <c r="H10" s="84" t="s">
        <v>14</v>
      </c>
      <c r="I10" s="84" t="s">
        <v>101</v>
      </c>
      <c r="J10" s="106">
        <v>46230</v>
      </c>
      <c r="K10" s="84" t="s">
        <v>1071</v>
      </c>
    </row>
    <row r="11" spans="1:11" ht="21.75" customHeight="1" x14ac:dyDescent="0.25">
      <c r="A11" s="84">
        <v>10</v>
      </c>
      <c r="B11" s="84" t="s">
        <v>159</v>
      </c>
      <c r="C11" s="84" t="s">
        <v>549</v>
      </c>
      <c r="D11" s="84"/>
      <c r="E11" s="84" t="s">
        <v>9</v>
      </c>
      <c r="F11" s="84" t="s">
        <v>104</v>
      </c>
      <c r="G11" s="84" t="s">
        <v>105</v>
      </c>
      <c r="H11" s="84" t="s">
        <v>14</v>
      </c>
      <c r="I11" s="84" t="s">
        <v>101</v>
      </c>
      <c r="J11" s="106">
        <v>46230</v>
      </c>
      <c r="K11" s="84" t="s">
        <v>1071</v>
      </c>
    </row>
    <row r="12" spans="1:11" ht="21.75" customHeight="1" x14ac:dyDescent="0.25">
      <c r="A12" s="84">
        <v>11</v>
      </c>
      <c r="B12" s="84" t="s">
        <v>161</v>
      </c>
      <c r="C12" s="84" t="s">
        <v>551</v>
      </c>
      <c r="D12" s="84"/>
      <c r="E12" s="84" t="s">
        <v>9</v>
      </c>
      <c r="F12" s="84" t="s">
        <v>104</v>
      </c>
      <c r="G12" s="84" t="s">
        <v>105</v>
      </c>
      <c r="H12" s="84" t="s">
        <v>14</v>
      </c>
      <c r="I12" s="84" t="s">
        <v>101</v>
      </c>
      <c r="J12" s="106">
        <v>46230</v>
      </c>
      <c r="K12" s="84" t="s">
        <v>1071</v>
      </c>
    </row>
    <row r="13" spans="1:11" ht="21.75" customHeight="1" x14ac:dyDescent="0.25">
      <c r="A13" s="84">
        <v>12</v>
      </c>
      <c r="B13" s="84" t="s">
        <v>163</v>
      </c>
      <c r="C13" s="84" t="s">
        <v>553</v>
      </c>
      <c r="D13" s="84"/>
      <c r="E13" s="84" t="s">
        <v>9</v>
      </c>
      <c r="F13" s="84" t="s">
        <v>104</v>
      </c>
      <c r="G13" s="84" t="s">
        <v>105</v>
      </c>
      <c r="H13" s="84" t="s">
        <v>14</v>
      </c>
      <c r="I13" s="84" t="s">
        <v>101</v>
      </c>
      <c r="J13" s="106">
        <v>46230</v>
      </c>
      <c r="K13" s="84" t="s">
        <v>1071</v>
      </c>
    </row>
    <row r="14" spans="1:11" ht="21.75" customHeight="1" x14ac:dyDescent="0.25">
      <c r="A14" s="84">
        <v>13</v>
      </c>
      <c r="B14" s="84" t="s">
        <v>165</v>
      </c>
      <c r="C14" s="84" t="s">
        <v>554</v>
      </c>
      <c r="D14" s="84"/>
      <c r="E14" s="84" t="s">
        <v>9</v>
      </c>
      <c r="F14" s="84" t="s">
        <v>104</v>
      </c>
      <c r="G14" s="84" t="s">
        <v>105</v>
      </c>
      <c r="H14" s="84" t="s">
        <v>14</v>
      </c>
      <c r="I14" s="84" t="s">
        <v>101</v>
      </c>
      <c r="J14" s="106">
        <v>46230</v>
      </c>
      <c r="K14" s="84" t="s">
        <v>1071</v>
      </c>
    </row>
    <row r="15" spans="1:11" ht="21.75" customHeight="1" x14ac:dyDescent="0.25">
      <c r="A15" s="84">
        <v>14</v>
      </c>
      <c r="B15" s="84" t="s">
        <v>167</v>
      </c>
      <c r="C15" s="84" t="s">
        <v>555</v>
      </c>
      <c r="D15" s="84"/>
      <c r="E15" s="84" t="s">
        <v>9</v>
      </c>
      <c r="F15" s="84" t="s">
        <v>104</v>
      </c>
      <c r="G15" s="84" t="s">
        <v>105</v>
      </c>
      <c r="H15" s="84" t="s">
        <v>14</v>
      </c>
      <c r="I15" s="84" t="s">
        <v>101</v>
      </c>
      <c r="J15" s="106">
        <v>46230</v>
      </c>
      <c r="K15" s="84" t="s">
        <v>1071</v>
      </c>
    </row>
    <row r="16" spans="1:11" ht="21.75" customHeight="1" x14ac:dyDescent="0.25">
      <c r="A16" s="84">
        <v>15</v>
      </c>
      <c r="B16" s="84" t="s">
        <v>169</v>
      </c>
      <c r="C16" s="84" t="s">
        <v>556</v>
      </c>
      <c r="D16" s="84"/>
      <c r="E16" s="84" t="s">
        <v>9</v>
      </c>
      <c r="F16" s="84" t="s">
        <v>104</v>
      </c>
      <c r="G16" s="84" t="s">
        <v>105</v>
      </c>
      <c r="H16" s="84" t="s">
        <v>14</v>
      </c>
      <c r="I16" s="84" t="s">
        <v>101</v>
      </c>
      <c r="J16" s="106">
        <v>46230</v>
      </c>
      <c r="K16" s="84" t="s">
        <v>1071</v>
      </c>
    </row>
    <row r="17" spans="1:11" ht="21.75" customHeight="1" x14ac:dyDescent="0.25">
      <c r="A17" s="84">
        <v>16</v>
      </c>
      <c r="B17" s="84" t="s">
        <v>1072</v>
      </c>
      <c r="C17" s="84" t="s">
        <v>1073</v>
      </c>
      <c r="D17" s="84"/>
      <c r="E17" s="84" t="s">
        <v>12</v>
      </c>
      <c r="F17" s="84" t="s">
        <v>106</v>
      </c>
      <c r="G17" s="84" t="s">
        <v>107</v>
      </c>
      <c r="H17" s="84" t="s">
        <v>14</v>
      </c>
      <c r="I17" s="84" t="s">
        <v>101</v>
      </c>
      <c r="J17" s="106">
        <v>46230</v>
      </c>
      <c r="K17" s="84" t="s">
        <v>1071</v>
      </c>
    </row>
    <row r="18" spans="1:11" ht="21.75" customHeight="1" x14ac:dyDescent="0.25">
      <c r="A18" s="84">
        <v>17</v>
      </c>
      <c r="B18" s="84" t="s">
        <v>1074</v>
      </c>
      <c r="C18" s="84" t="s">
        <v>1075</v>
      </c>
      <c r="D18" s="84"/>
      <c r="E18" s="84" t="s">
        <v>12</v>
      </c>
      <c r="F18" s="84" t="s">
        <v>106</v>
      </c>
      <c r="G18" s="84" t="s">
        <v>107</v>
      </c>
      <c r="H18" s="84" t="s">
        <v>14</v>
      </c>
      <c r="I18" s="84" t="s">
        <v>101</v>
      </c>
      <c r="J18" s="106">
        <v>46230</v>
      </c>
      <c r="K18" s="84" t="s">
        <v>1071</v>
      </c>
    </row>
    <row r="19" spans="1:11" ht="21.75" customHeight="1" x14ac:dyDescent="0.25">
      <c r="A19" s="84">
        <v>18</v>
      </c>
      <c r="B19" s="84" t="s">
        <v>1076</v>
      </c>
      <c r="C19" s="84" t="s">
        <v>1077</v>
      </c>
      <c r="D19" s="84"/>
      <c r="E19" s="84" t="s">
        <v>12</v>
      </c>
      <c r="F19" s="84" t="s">
        <v>106</v>
      </c>
      <c r="G19" s="84" t="s">
        <v>107</v>
      </c>
      <c r="H19" s="84" t="s">
        <v>14</v>
      </c>
      <c r="I19" s="84" t="s">
        <v>101</v>
      </c>
      <c r="J19" s="106">
        <v>46230</v>
      </c>
      <c r="K19" s="84" t="s">
        <v>1071</v>
      </c>
    </row>
    <row r="20" spans="1:11" ht="21.75" customHeight="1" x14ac:dyDescent="0.25">
      <c r="A20" s="84">
        <v>19</v>
      </c>
      <c r="B20" s="84" t="s">
        <v>1078</v>
      </c>
      <c r="C20" s="84" t="s">
        <v>1079</v>
      </c>
      <c r="D20" s="84"/>
      <c r="E20" s="84" t="s">
        <v>12</v>
      </c>
      <c r="F20" s="84" t="s">
        <v>106</v>
      </c>
      <c r="G20" s="84" t="s">
        <v>107</v>
      </c>
      <c r="H20" s="84" t="s">
        <v>14</v>
      </c>
      <c r="I20" s="84" t="s">
        <v>101</v>
      </c>
      <c r="J20" s="106">
        <v>46230</v>
      </c>
      <c r="K20" s="84" t="s">
        <v>1071</v>
      </c>
    </row>
    <row r="21" spans="1:11" ht="21.75" customHeight="1" x14ac:dyDescent="0.25">
      <c r="A21" s="84">
        <v>20</v>
      </c>
      <c r="B21" s="84" t="s">
        <v>1080</v>
      </c>
      <c r="C21" s="84" t="s">
        <v>1081</v>
      </c>
      <c r="D21" s="84"/>
      <c r="E21" s="84" t="s">
        <v>12</v>
      </c>
      <c r="F21" s="84" t="s">
        <v>106</v>
      </c>
      <c r="G21" s="84" t="s">
        <v>107</v>
      </c>
      <c r="H21" s="84" t="s">
        <v>14</v>
      </c>
      <c r="I21" s="84" t="s">
        <v>101</v>
      </c>
      <c r="J21" s="106">
        <v>46230</v>
      </c>
      <c r="K21" s="84" t="s">
        <v>1071</v>
      </c>
    </row>
    <row r="22" spans="1:11" ht="21.75" customHeight="1" x14ac:dyDescent="0.25">
      <c r="A22" s="84">
        <v>21</v>
      </c>
      <c r="B22" s="84" t="s">
        <v>987</v>
      </c>
      <c r="C22" s="84" t="s">
        <v>988</v>
      </c>
      <c r="D22" s="84"/>
      <c r="E22" s="84" t="s">
        <v>12</v>
      </c>
      <c r="F22" s="84" t="s">
        <v>106</v>
      </c>
      <c r="G22" s="84" t="s">
        <v>107</v>
      </c>
      <c r="H22" s="84" t="s">
        <v>14</v>
      </c>
      <c r="I22" s="84" t="s">
        <v>101</v>
      </c>
      <c r="J22" s="106">
        <v>46230</v>
      </c>
      <c r="K22" s="84" t="s">
        <v>1071</v>
      </c>
    </row>
    <row r="23" spans="1:11" ht="21.75" customHeight="1" x14ac:dyDescent="0.25">
      <c r="A23" s="84">
        <v>22</v>
      </c>
      <c r="B23" s="84" t="s">
        <v>1082</v>
      </c>
      <c r="C23" s="84" t="s">
        <v>1083</v>
      </c>
      <c r="D23" s="84"/>
      <c r="E23" s="84" t="s">
        <v>12</v>
      </c>
      <c r="F23" s="84" t="s">
        <v>106</v>
      </c>
      <c r="G23" s="84" t="s">
        <v>107</v>
      </c>
      <c r="H23" s="84" t="s">
        <v>14</v>
      </c>
      <c r="I23" s="84" t="s">
        <v>101</v>
      </c>
      <c r="J23" s="106">
        <v>46230</v>
      </c>
      <c r="K23" s="84" t="s">
        <v>1071</v>
      </c>
    </row>
    <row r="24" spans="1:11" ht="21.75" customHeight="1" x14ac:dyDescent="0.25">
      <c r="A24" s="84">
        <v>23</v>
      </c>
      <c r="B24" s="84" t="s">
        <v>1084</v>
      </c>
      <c r="C24" s="84" t="s">
        <v>1085</v>
      </c>
      <c r="D24" s="84"/>
      <c r="E24" s="84" t="s">
        <v>12</v>
      </c>
      <c r="F24" s="84" t="s">
        <v>106</v>
      </c>
      <c r="G24" s="84" t="s">
        <v>107</v>
      </c>
      <c r="H24" s="84" t="s">
        <v>14</v>
      </c>
      <c r="I24" s="84" t="s">
        <v>101</v>
      </c>
      <c r="J24" s="106">
        <v>46230</v>
      </c>
      <c r="K24" s="84" t="s">
        <v>1071</v>
      </c>
    </row>
    <row r="25" spans="1:11" ht="21.75" customHeight="1" x14ac:dyDescent="0.25">
      <c r="A25" s="84">
        <v>24</v>
      </c>
      <c r="B25" s="84" t="s">
        <v>1086</v>
      </c>
      <c r="C25" s="84" t="s">
        <v>1087</v>
      </c>
      <c r="D25" s="84"/>
      <c r="E25" s="84" t="s">
        <v>12</v>
      </c>
      <c r="F25" s="84" t="s">
        <v>106</v>
      </c>
      <c r="G25" s="84" t="s">
        <v>107</v>
      </c>
      <c r="H25" s="84" t="s">
        <v>14</v>
      </c>
      <c r="I25" s="84" t="s">
        <v>101</v>
      </c>
      <c r="J25" s="106">
        <v>46230</v>
      </c>
      <c r="K25" s="84" t="s">
        <v>1071</v>
      </c>
    </row>
    <row r="26" spans="1:11" ht="21.75" customHeight="1" x14ac:dyDescent="0.25">
      <c r="A26" s="84">
        <v>25</v>
      </c>
      <c r="B26" s="84" t="s">
        <v>1088</v>
      </c>
      <c r="C26" s="84" t="s">
        <v>1089</v>
      </c>
      <c r="D26" s="84"/>
      <c r="E26" s="84" t="s">
        <v>12</v>
      </c>
      <c r="F26" s="84" t="s">
        <v>106</v>
      </c>
      <c r="G26" s="84" t="s">
        <v>107</v>
      </c>
      <c r="H26" s="84" t="s">
        <v>14</v>
      </c>
      <c r="I26" s="84" t="s">
        <v>101</v>
      </c>
      <c r="J26" s="106">
        <v>46230</v>
      </c>
      <c r="K26" s="84" t="s">
        <v>1071</v>
      </c>
    </row>
    <row r="27" spans="1:11" ht="21.75" customHeight="1" x14ac:dyDescent="0.25">
      <c r="A27" s="84">
        <v>26</v>
      </c>
      <c r="B27" s="84" t="s">
        <v>1090</v>
      </c>
      <c r="C27" s="84" t="s">
        <v>1091</v>
      </c>
      <c r="D27" s="84"/>
      <c r="E27" s="84" t="s">
        <v>12</v>
      </c>
      <c r="F27" s="84" t="s">
        <v>106</v>
      </c>
      <c r="G27" s="84" t="s">
        <v>107</v>
      </c>
      <c r="H27" s="84" t="s">
        <v>14</v>
      </c>
      <c r="I27" s="84" t="s">
        <v>101</v>
      </c>
      <c r="J27" s="106">
        <v>46230</v>
      </c>
      <c r="K27" s="84" t="s">
        <v>1071</v>
      </c>
    </row>
    <row r="28" spans="1:11" ht="21.75" customHeight="1" x14ac:dyDescent="0.25">
      <c r="A28" s="84">
        <v>27</v>
      </c>
      <c r="B28" s="84" t="s">
        <v>1092</v>
      </c>
      <c r="C28" s="84" t="s">
        <v>1093</v>
      </c>
      <c r="D28" s="84"/>
      <c r="E28" s="84" t="s">
        <v>12</v>
      </c>
      <c r="F28" s="84" t="s">
        <v>106</v>
      </c>
      <c r="G28" s="84" t="s">
        <v>107</v>
      </c>
      <c r="H28" s="84" t="s">
        <v>14</v>
      </c>
      <c r="I28" s="84" t="s">
        <v>101</v>
      </c>
      <c r="J28" s="106">
        <v>46230</v>
      </c>
      <c r="K28" s="84" t="s">
        <v>1071</v>
      </c>
    </row>
    <row r="29" spans="1:11" ht="21.75" customHeight="1" x14ac:dyDescent="0.25">
      <c r="A29" s="84">
        <v>28</v>
      </c>
      <c r="B29" s="84" t="s">
        <v>1094</v>
      </c>
      <c r="C29" s="84" t="s">
        <v>1095</v>
      </c>
      <c r="D29" s="84"/>
      <c r="E29" s="84" t="s">
        <v>12</v>
      </c>
      <c r="F29" s="84" t="s">
        <v>106</v>
      </c>
      <c r="G29" s="84" t="s">
        <v>107</v>
      </c>
      <c r="H29" s="84" t="s">
        <v>14</v>
      </c>
      <c r="I29" s="84" t="s">
        <v>101</v>
      </c>
      <c r="J29" s="106">
        <v>46230</v>
      </c>
      <c r="K29" s="84" t="s">
        <v>1071</v>
      </c>
    </row>
    <row r="30" spans="1:11" ht="21.75" customHeight="1" x14ac:dyDescent="0.25">
      <c r="A30" s="84">
        <v>29</v>
      </c>
      <c r="B30" s="84" t="s">
        <v>1096</v>
      </c>
      <c r="C30" s="84" t="s">
        <v>1097</v>
      </c>
      <c r="D30" s="84"/>
      <c r="E30" s="84" t="s">
        <v>12</v>
      </c>
      <c r="F30" s="84" t="s">
        <v>106</v>
      </c>
      <c r="G30" s="84" t="s">
        <v>107</v>
      </c>
      <c r="H30" s="84" t="s">
        <v>14</v>
      </c>
      <c r="I30" s="84" t="s">
        <v>101</v>
      </c>
      <c r="J30" s="106">
        <v>46230</v>
      </c>
      <c r="K30" s="84" t="s">
        <v>1071</v>
      </c>
    </row>
    <row r="31" spans="1:11" ht="21.75" customHeight="1" x14ac:dyDescent="0.25">
      <c r="A31" s="84">
        <v>30</v>
      </c>
      <c r="B31" s="84" t="s">
        <v>1098</v>
      </c>
      <c r="C31" s="84" t="s">
        <v>1099</v>
      </c>
      <c r="D31" s="84"/>
      <c r="E31" s="84" t="s">
        <v>12</v>
      </c>
      <c r="F31" s="84" t="s">
        <v>106</v>
      </c>
      <c r="G31" s="84" t="s">
        <v>107</v>
      </c>
      <c r="H31" s="84" t="s">
        <v>14</v>
      </c>
      <c r="I31" s="84" t="s">
        <v>101</v>
      </c>
      <c r="J31" s="106">
        <v>46230</v>
      </c>
      <c r="K31" s="84" t="s">
        <v>1071</v>
      </c>
    </row>
    <row r="32" spans="1:11" ht="21.75" customHeight="1" x14ac:dyDescent="0.25">
      <c r="A32" s="84">
        <v>31</v>
      </c>
      <c r="B32" s="84" t="s">
        <v>1100</v>
      </c>
      <c r="C32" s="84" t="s">
        <v>1101</v>
      </c>
      <c r="D32" s="84"/>
      <c r="E32" s="84" t="s">
        <v>12</v>
      </c>
      <c r="F32" s="84" t="s">
        <v>106</v>
      </c>
      <c r="G32" s="84" t="s">
        <v>107</v>
      </c>
      <c r="H32" s="84" t="s">
        <v>14</v>
      </c>
      <c r="I32" s="84" t="s">
        <v>101</v>
      </c>
      <c r="J32" s="106">
        <v>46230</v>
      </c>
      <c r="K32" s="84" t="s">
        <v>1071</v>
      </c>
    </row>
    <row r="33" spans="1:11" ht="21.75" customHeight="1" x14ac:dyDescent="0.25">
      <c r="A33" s="84">
        <v>32</v>
      </c>
      <c r="B33" s="84" t="s">
        <v>1102</v>
      </c>
      <c r="C33" s="84" t="s">
        <v>1103</v>
      </c>
      <c r="D33" s="84"/>
      <c r="E33" s="84" t="s">
        <v>12</v>
      </c>
      <c r="F33" s="84" t="s">
        <v>106</v>
      </c>
      <c r="G33" s="84" t="s">
        <v>107</v>
      </c>
      <c r="H33" s="84" t="s">
        <v>14</v>
      </c>
      <c r="I33" s="84" t="s">
        <v>101</v>
      </c>
      <c r="J33" s="106">
        <v>46230</v>
      </c>
      <c r="K33" s="84" t="s">
        <v>1071</v>
      </c>
    </row>
    <row r="34" spans="1:11" ht="21.75" customHeight="1" x14ac:dyDescent="0.25">
      <c r="A34" s="84">
        <v>33</v>
      </c>
      <c r="B34" s="84" t="s">
        <v>1104</v>
      </c>
      <c r="C34" s="84" t="s">
        <v>1105</v>
      </c>
      <c r="D34" s="84"/>
      <c r="E34" s="84" t="s">
        <v>12</v>
      </c>
      <c r="F34" s="84" t="s">
        <v>106</v>
      </c>
      <c r="G34" s="84" t="s">
        <v>107</v>
      </c>
      <c r="H34" s="84" t="s">
        <v>14</v>
      </c>
      <c r="I34" s="84" t="s">
        <v>101</v>
      </c>
      <c r="J34" s="106">
        <v>46230</v>
      </c>
      <c r="K34" s="84" t="s">
        <v>1071</v>
      </c>
    </row>
    <row r="35" spans="1:11" ht="21.75" customHeight="1" x14ac:dyDescent="0.25">
      <c r="A35" s="84">
        <v>34</v>
      </c>
      <c r="B35" s="84" t="s">
        <v>1106</v>
      </c>
      <c r="C35" s="84" t="s">
        <v>1107</v>
      </c>
      <c r="D35" s="84"/>
      <c r="E35" s="84" t="s">
        <v>12</v>
      </c>
      <c r="F35" s="84" t="s">
        <v>106</v>
      </c>
      <c r="G35" s="84" t="s">
        <v>107</v>
      </c>
      <c r="H35" s="84" t="s">
        <v>14</v>
      </c>
      <c r="I35" s="84" t="s">
        <v>101</v>
      </c>
      <c r="J35" s="106">
        <v>46230</v>
      </c>
      <c r="K35" s="84" t="s">
        <v>1071</v>
      </c>
    </row>
    <row r="36" spans="1:11" ht="21.75" customHeight="1" x14ac:dyDescent="0.25">
      <c r="A36" s="84">
        <v>35</v>
      </c>
      <c r="B36" s="84" t="s">
        <v>1108</v>
      </c>
      <c r="C36" s="84" t="s">
        <v>1109</v>
      </c>
      <c r="D36" s="84"/>
      <c r="E36" s="84" t="s">
        <v>12</v>
      </c>
      <c r="F36" s="84" t="s">
        <v>106</v>
      </c>
      <c r="G36" s="84" t="s">
        <v>107</v>
      </c>
      <c r="H36" s="84" t="s">
        <v>14</v>
      </c>
      <c r="I36" s="84" t="s">
        <v>101</v>
      </c>
      <c r="J36" s="106">
        <v>46230</v>
      </c>
      <c r="K36" s="84" t="s">
        <v>1071</v>
      </c>
    </row>
    <row r="37" spans="1:11" ht="21.75" customHeight="1" x14ac:dyDescent="0.25">
      <c r="A37" s="84">
        <v>36</v>
      </c>
      <c r="B37" s="84" t="s">
        <v>1110</v>
      </c>
      <c r="C37" s="84" t="s">
        <v>1111</v>
      </c>
      <c r="D37" s="84"/>
      <c r="E37" s="84" t="s">
        <v>23</v>
      </c>
      <c r="F37" s="84" t="s">
        <v>108</v>
      </c>
      <c r="G37" s="84" t="s">
        <v>109</v>
      </c>
      <c r="H37" s="84" t="s">
        <v>14</v>
      </c>
      <c r="I37" s="84" t="s">
        <v>101</v>
      </c>
      <c r="J37" s="106">
        <v>46230</v>
      </c>
      <c r="K37" s="84" t="s">
        <v>1071</v>
      </c>
    </row>
    <row r="38" spans="1:11" ht="21.75" customHeight="1" x14ac:dyDescent="0.25">
      <c r="A38" s="84">
        <v>37</v>
      </c>
      <c r="B38" s="84" t="s">
        <v>1112</v>
      </c>
      <c r="C38" s="84" t="s">
        <v>1113</v>
      </c>
      <c r="D38" s="84"/>
      <c r="E38" s="84" t="s">
        <v>23</v>
      </c>
      <c r="F38" s="84" t="s">
        <v>108</v>
      </c>
      <c r="G38" s="84" t="s">
        <v>109</v>
      </c>
      <c r="H38" s="84" t="s">
        <v>14</v>
      </c>
      <c r="I38" s="84" t="s">
        <v>101</v>
      </c>
      <c r="J38" s="106">
        <v>46230</v>
      </c>
      <c r="K38" s="84" t="s">
        <v>1071</v>
      </c>
    </row>
    <row r="39" spans="1:11" ht="21.75" customHeight="1" x14ac:dyDescent="0.25">
      <c r="A39" s="84">
        <v>38</v>
      </c>
      <c r="B39" s="84" t="s">
        <v>1114</v>
      </c>
      <c r="C39" s="84" t="s">
        <v>1115</v>
      </c>
      <c r="D39" s="84"/>
      <c r="E39" s="84" t="s">
        <v>23</v>
      </c>
      <c r="F39" s="84" t="s">
        <v>108</v>
      </c>
      <c r="G39" s="84" t="s">
        <v>109</v>
      </c>
      <c r="H39" s="84" t="s">
        <v>14</v>
      </c>
      <c r="I39" s="84" t="s">
        <v>101</v>
      </c>
      <c r="J39" s="106">
        <v>46230</v>
      </c>
      <c r="K39" s="84" t="s">
        <v>1071</v>
      </c>
    </row>
    <row r="40" spans="1:11" ht="21.75" customHeight="1" x14ac:dyDescent="0.25">
      <c r="A40" s="84">
        <v>39</v>
      </c>
      <c r="B40" s="84" t="s">
        <v>1116</v>
      </c>
      <c r="C40" s="84" t="s">
        <v>1117</v>
      </c>
      <c r="D40" s="84"/>
      <c r="E40" s="84" t="s">
        <v>23</v>
      </c>
      <c r="F40" s="84" t="s">
        <v>108</v>
      </c>
      <c r="G40" s="84" t="s">
        <v>109</v>
      </c>
      <c r="H40" s="84" t="s">
        <v>14</v>
      </c>
      <c r="I40" s="84" t="s">
        <v>101</v>
      </c>
      <c r="J40" s="106">
        <v>46230</v>
      </c>
      <c r="K40" s="84" t="s">
        <v>1071</v>
      </c>
    </row>
    <row r="41" spans="1:11" ht="21.75" customHeight="1" x14ac:dyDescent="0.25">
      <c r="A41" s="84">
        <v>40</v>
      </c>
      <c r="B41" s="84" t="s">
        <v>1118</v>
      </c>
      <c r="C41" s="84" t="s">
        <v>1119</v>
      </c>
      <c r="D41" s="84"/>
      <c r="E41" s="84" t="s">
        <v>23</v>
      </c>
      <c r="F41" s="84" t="s">
        <v>108</v>
      </c>
      <c r="G41" s="84" t="s">
        <v>109</v>
      </c>
      <c r="H41" s="84" t="s">
        <v>14</v>
      </c>
      <c r="I41" s="84" t="s">
        <v>101</v>
      </c>
      <c r="J41" s="106">
        <v>46230</v>
      </c>
      <c r="K41" s="84" t="s">
        <v>1071</v>
      </c>
    </row>
    <row r="42" spans="1:11" ht="21.75" customHeight="1" x14ac:dyDescent="0.25">
      <c r="A42" s="84">
        <v>41</v>
      </c>
      <c r="B42" s="84" t="s">
        <v>990</v>
      </c>
      <c r="C42" s="84" t="s">
        <v>991</v>
      </c>
      <c r="D42" s="84"/>
      <c r="E42" s="84" t="s">
        <v>23</v>
      </c>
      <c r="F42" s="84" t="s">
        <v>108</v>
      </c>
      <c r="G42" s="84" t="s">
        <v>109</v>
      </c>
      <c r="H42" s="84" t="s">
        <v>14</v>
      </c>
      <c r="I42" s="84" t="s">
        <v>101</v>
      </c>
      <c r="J42" s="106">
        <v>46230</v>
      </c>
      <c r="K42" s="84" t="s">
        <v>1071</v>
      </c>
    </row>
    <row r="43" spans="1:11" ht="21.75" customHeight="1" x14ac:dyDescent="0.25">
      <c r="A43" s="84">
        <v>42</v>
      </c>
      <c r="B43" s="84" t="s">
        <v>1120</v>
      </c>
      <c r="C43" s="84" t="s">
        <v>1121</v>
      </c>
      <c r="D43" s="84"/>
      <c r="E43" s="84" t="s">
        <v>23</v>
      </c>
      <c r="F43" s="84" t="s">
        <v>108</v>
      </c>
      <c r="G43" s="84" t="s">
        <v>109</v>
      </c>
      <c r="H43" s="84" t="s">
        <v>14</v>
      </c>
      <c r="I43" s="84" t="s">
        <v>101</v>
      </c>
      <c r="J43" s="106">
        <v>46230</v>
      </c>
      <c r="K43" s="84" t="s">
        <v>1071</v>
      </c>
    </row>
    <row r="44" spans="1:11" ht="21.75" customHeight="1" x14ac:dyDescent="0.25">
      <c r="A44" s="84">
        <v>43</v>
      </c>
      <c r="B44" s="84" t="s">
        <v>1122</v>
      </c>
      <c r="C44" s="84" t="s">
        <v>1123</v>
      </c>
      <c r="D44" s="84"/>
      <c r="E44" s="84" t="s">
        <v>23</v>
      </c>
      <c r="F44" s="84" t="s">
        <v>108</v>
      </c>
      <c r="G44" s="84" t="s">
        <v>109</v>
      </c>
      <c r="H44" s="84" t="s">
        <v>14</v>
      </c>
      <c r="I44" s="84" t="s">
        <v>101</v>
      </c>
      <c r="J44" s="106">
        <v>46230</v>
      </c>
      <c r="K44" s="84" t="s">
        <v>1071</v>
      </c>
    </row>
    <row r="45" spans="1:11" ht="21.75" customHeight="1" x14ac:dyDescent="0.25">
      <c r="A45" s="84">
        <v>44</v>
      </c>
      <c r="B45" s="84" t="s">
        <v>1124</v>
      </c>
      <c r="C45" s="84" t="s">
        <v>1125</v>
      </c>
      <c r="D45" s="84"/>
      <c r="E45" s="84" t="s">
        <v>23</v>
      </c>
      <c r="F45" s="84" t="s">
        <v>108</v>
      </c>
      <c r="G45" s="84" t="s">
        <v>109</v>
      </c>
      <c r="H45" s="84" t="s">
        <v>14</v>
      </c>
      <c r="I45" s="84" t="s">
        <v>101</v>
      </c>
      <c r="J45" s="106">
        <v>46230</v>
      </c>
      <c r="K45" s="84" t="s">
        <v>1071</v>
      </c>
    </row>
    <row r="46" spans="1:11" ht="21.75" customHeight="1" x14ac:dyDescent="0.25">
      <c r="A46" s="84">
        <v>45</v>
      </c>
      <c r="B46" s="84" t="s">
        <v>1126</v>
      </c>
      <c r="C46" s="84" t="s">
        <v>1127</v>
      </c>
      <c r="D46" s="84"/>
      <c r="E46" s="84" t="s">
        <v>23</v>
      </c>
      <c r="F46" s="84" t="s">
        <v>108</v>
      </c>
      <c r="G46" s="84" t="s">
        <v>109</v>
      </c>
      <c r="H46" s="84" t="s">
        <v>14</v>
      </c>
      <c r="I46" s="84" t="s">
        <v>101</v>
      </c>
      <c r="J46" s="106">
        <v>46230</v>
      </c>
      <c r="K46" s="84" t="s">
        <v>1071</v>
      </c>
    </row>
    <row r="47" spans="1:11" ht="21.75" customHeight="1" x14ac:dyDescent="0.25">
      <c r="A47" s="84">
        <v>46</v>
      </c>
      <c r="B47" s="84" t="s">
        <v>1128</v>
      </c>
      <c r="C47" s="84" t="s">
        <v>1129</v>
      </c>
      <c r="D47" s="84"/>
      <c r="E47" s="84" t="s">
        <v>23</v>
      </c>
      <c r="F47" s="84" t="s">
        <v>108</v>
      </c>
      <c r="G47" s="84" t="s">
        <v>109</v>
      </c>
      <c r="H47" s="84" t="s">
        <v>14</v>
      </c>
      <c r="I47" s="84" t="s">
        <v>101</v>
      </c>
      <c r="J47" s="106">
        <v>46230</v>
      </c>
      <c r="K47" s="84" t="s">
        <v>1071</v>
      </c>
    </row>
    <row r="48" spans="1:11" ht="21.75" customHeight="1" x14ac:dyDescent="0.25">
      <c r="A48" s="84">
        <v>47</v>
      </c>
      <c r="B48" s="84" t="s">
        <v>1130</v>
      </c>
      <c r="C48" s="84" t="s">
        <v>1131</v>
      </c>
      <c r="D48" s="84"/>
      <c r="E48" s="84" t="s">
        <v>23</v>
      </c>
      <c r="F48" s="84" t="s">
        <v>108</v>
      </c>
      <c r="G48" s="84" t="s">
        <v>109</v>
      </c>
      <c r="H48" s="84" t="s">
        <v>14</v>
      </c>
      <c r="I48" s="84" t="s">
        <v>101</v>
      </c>
      <c r="J48" s="106">
        <v>46230</v>
      </c>
      <c r="K48" s="84" t="s">
        <v>1071</v>
      </c>
    </row>
    <row r="49" spans="1:11" ht="21.75" customHeight="1" x14ac:dyDescent="0.25">
      <c r="A49" s="84">
        <v>48</v>
      </c>
      <c r="B49" s="84" t="s">
        <v>1132</v>
      </c>
      <c r="C49" s="84" t="s">
        <v>1133</v>
      </c>
      <c r="D49" s="84"/>
      <c r="E49" s="84" t="s">
        <v>23</v>
      </c>
      <c r="F49" s="84" t="s">
        <v>108</v>
      </c>
      <c r="G49" s="84" t="s">
        <v>109</v>
      </c>
      <c r="H49" s="84" t="s">
        <v>14</v>
      </c>
      <c r="I49" s="84" t="s">
        <v>101</v>
      </c>
      <c r="J49" s="106">
        <v>46230</v>
      </c>
      <c r="K49" s="84" t="s">
        <v>1071</v>
      </c>
    </row>
    <row r="50" spans="1:11" ht="21.75" customHeight="1" x14ac:dyDescent="0.25">
      <c r="A50" s="84">
        <v>49</v>
      </c>
      <c r="B50" s="84" t="s">
        <v>1134</v>
      </c>
      <c r="C50" s="84" t="s">
        <v>1135</v>
      </c>
      <c r="D50" s="84"/>
      <c r="E50" s="84" t="s">
        <v>23</v>
      </c>
      <c r="F50" s="84" t="s">
        <v>108</v>
      </c>
      <c r="G50" s="84" t="s">
        <v>109</v>
      </c>
      <c r="H50" s="84" t="s">
        <v>14</v>
      </c>
      <c r="I50" s="84" t="s">
        <v>101</v>
      </c>
      <c r="J50" s="106">
        <v>46230</v>
      </c>
      <c r="K50" s="84" t="s">
        <v>1071</v>
      </c>
    </row>
    <row r="51" spans="1:11" ht="21.75" customHeight="1" x14ac:dyDescent="0.25">
      <c r="A51" s="84">
        <v>50</v>
      </c>
      <c r="B51" s="84" t="s">
        <v>1136</v>
      </c>
      <c r="C51" s="84" t="s">
        <v>1137</v>
      </c>
      <c r="D51" s="84"/>
      <c r="E51" s="84" t="s">
        <v>23</v>
      </c>
      <c r="F51" s="84" t="s">
        <v>108</v>
      </c>
      <c r="G51" s="84" t="s">
        <v>109</v>
      </c>
      <c r="H51" s="84" t="s">
        <v>14</v>
      </c>
      <c r="I51" s="84" t="s">
        <v>101</v>
      </c>
      <c r="J51" s="106">
        <v>46230</v>
      </c>
      <c r="K51" s="84" t="s">
        <v>1071</v>
      </c>
    </row>
    <row r="52" spans="1:11" ht="21.75" customHeight="1" x14ac:dyDescent="0.25">
      <c r="A52" s="84">
        <v>51</v>
      </c>
      <c r="B52" s="84" t="s">
        <v>236</v>
      </c>
      <c r="C52" s="84" t="s">
        <v>1138</v>
      </c>
      <c r="D52" s="84"/>
      <c r="E52" s="84" t="s">
        <v>23</v>
      </c>
      <c r="F52" s="84" t="s">
        <v>108</v>
      </c>
      <c r="G52" s="84" t="s">
        <v>109</v>
      </c>
      <c r="H52" s="84" t="s">
        <v>14</v>
      </c>
      <c r="I52" s="84" t="s">
        <v>101</v>
      </c>
      <c r="J52" s="106">
        <v>46230</v>
      </c>
      <c r="K52" s="84" t="s">
        <v>1071</v>
      </c>
    </row>
    <row r="53" spans="1:11" ht="21.75" customHeight="1" x14ac:dyDescent="0.25">
      <c r="A53" s="84">
        <v>52</v>
      </c>
      <c r="B53" s="84" t="s">
        <v>241</v>
      </c>
      <c r="C53" s="84" t="s">
        <v>1139</v>
      </c>
      <c r="D53" s="84"/>
      <c r="E53" s="84" t="s">
        <v>23</v>
      </c>
      <c r="F53" s="84" t="s">
        <v>108</v>
      </c>
      <c r="G53" s="84" t="s">
        <v>109</v>
      </c>
      <c r="H53" s="84" t="s">
        <v>14</v>
      </c>
      <c r="I53" s="84" t="s">
        <v>101</v>
      </c>
      <c r="J53" s="106">
        <v>46230</v>
      </c>
      <c r="K53" s="84" t="s">
        <v>1071</v>
      </c>
    </row>
    <row r="54" spans="1:11" ht="21.75" customHeight="1" x14ac:dyDescent="0.25">
      <c r="A54" s="84">
        <v>53</v>
      </c>
      <c r="B54" s="84" t="s">
        <v>243</v>
      </c>
      <c r="C54" s="84" t="s">
        <v>1140</v>
      </c>
      <c r="D54" s="84"/>
      <c r="E54" s="84" t="s">
        <v>23</v>
      </c>
      <c r="F54" s="84" t="s">
        <v>108</v>
      </c>
      <c r="G54" s="84" t="s">
        <v>109</v>
      </c>
      <c r="H54" s="84" t="s">
        <v>14</v>
      </c>
      <c r="I54" s="84" t="s">
        <v>101</v>
      </c>
      <c r="J54" s="106">
        <v>46230</v>
      </c>
      <c r="K54" s="84" t="s">
        <v>1071</v>
      </c>
    </row>
    <row r="55" spans="1:11" ht="21.75" customHeight="1" x14ac:dyDescent="0.25">
      <c r="A55" s="84">
        <v>54</v>
      </c>
      <c r="B55" s="84" t="s">
        <v>245</v>
      </c>
      <c r="C55" s="84" t="s">
        <v>1141</v>
      </c>
      <c r="D55" s="84"/>
      <c r="E55" s="84" t="s">
        <v>23</v>
      </c>
      <c r="F55" s="84" t="s">
        <v>108</v>
      </c>
      <c r="G55" s="84" t="s">
        <v>109</v>
      </c>
      <c r="H55" s="84" t="s">
        <v>14</v>
      </c>
      <c r="I55" s="84" t="s">
        <v>101</v>
      </c>
      <c r="J55" s="106">
        <v>46230</v>
      </c>
      <c r="K55" s="84" t="s">
        <v>1071</v>
      </c>
    </row>
    <row r="56" spans="1:11" ht="21.75" customHeight="1" x14ac:dyDescent="0.25">
      <c r="A56" s="84">
        <v>55</v>
      </c>
      <c r="B56" s="84" t="s">
        <v>247</v>
      </c>
      <c r="C56" s="84" t="s">
        <v>1142</v>
      </c>
      <c r="D56" s="84"/>
      <c r="E56" s="84" t="s">
        <v>23</v>
      </c>
      <c r="F56" s="84" t="s">
        <v>108</v>
      </c>
      <c r="G56" s="84" t="s">
        <v>109</v>
      </c>
      <c r="H56" s="84" t="s">
        <v>14</v>
      </c>
      <c r="I56" s="84" t="s">
        <v>101</v>
      </c>
      <c r="J56" s="106">
        <v>46230</v>
      </c>
      <c r="K56" s="84" t="s">
        <v>1071</v>
      </c>
    </row>
    <row r="57" spans="1:11" ht="21.75" customHeight="1" x14ac:dyDescent="0.25">
      <c r="A57" s="84">
        <v>56</v>
      </c>
      <c r="B57" s="84" t="s">
        <v>249</v>
      </c>
      <c r="C57" s="84" t="s">
        <v>1143</v>
      </c>
      <c r="D57" s="84"/>
      <c r="E57" s="84" t="s">
        <v>26</v>
      </c>
      <c r="F57" s="84" t="s">
        <v>110</v>
      </c>
      <c r="G57" s="84" t="s">
        <v>111</v>
      </c>
      <c r="H57" s="84" t="s">
        <v>14</v>
      </c>
      <c r="I57" s="84" t="s">
        <v>101</v>
      </c>
      <c r="J57" s="106">
        <v>46230</v>
      </c>
      <c r="K57" s="84" t="s">
        <v>1071</v>
      </c>
    </row>
    <row r="58" spans="1:11" ht="21.75" customHeight="1" x14ac:dyDescent="0.25">
      <c r="A58" s="84">
        <v>57</v>
      </c>
      <c r="B58" s="84" t="s">
        <v>251</v>
      </c>
      <c r="C58" s="84" t="s">
        <v>1144</v>
      </c>
      <c r="D58" s="84"/>
      <c r="E58" s="84" t="s">
        <v>26</v>
      </c>
      <c r="F58" s="84" t="s">
        <v>110</v>
      </c>
      <c r="G58" s="84" t="s">
        <v>111</v>
      </c>
      <c r="H58" s="84" t="s">
        <v>14</v>
      </c>
      <c r="I58" s="84" t="s">
        <v>101</v>
      </c>
      <c r="J58" s="106">
        <v>46230</v>
      </c>
      <c r="K58" s="84" t="s">
        <v>1071</v>
      </c>
    </row>
    <row r="59" spans="1:11" ht="21.75" customHeight="1" x14ac:dyDescent="0.25">
      <c r="A59" s="84">
        <v>58</v>
      </c>
      <c r="B59" s="84" t="s">
        <v>253</v>
      </c>
      <c r="C59" s="84" t="s">
        <v>1145</v>
      </c>
      <c r="D59" s="84"/>
      <c r="E59" s="84" t="s">
        <v>26</v>
      </c>
      <c r="F59" s="84" t="s">
        <v>110</v>
      </c>
      <c r="G59" s="84" t="s">
        <v>111</v>
      </c>
      <c r="H59" s="84" t="s">
        <v>14</v>
      </c>
      <c r="I59" s="84" t="s">
        <v>101</v>
      </c>
      <c r="J59" s="106">
        <v>46230</v>
      </c>
      <c r="K59" s="84" t="s">
        <v>1071</v>
      </c>
    </row>
    <row r="60" spans="1:11" ht="21.75" customHeight="1" x14ac:dyDescent="0.25">
      <c r="A60" s="84">
        <v>59</v>
      </c>
      <c r="B60" s="84" t="s">
        <v>255</v>
      </c>
      <c r="C60" s="84" t="s">
        <v>1146</v>
      </c>
      <c r="D60" s="84"/>
      <c r="E60" s="84" t="s">
        <v>26</v>
      </c>
      <c r="F60" s="84" t="s">
        <v>110</v>
      </c>
      <c r="G60" s="84" t="s">
        <v>111</v>
      </c>
      <c r="H60" s="84" t="s">
        <v>14</v>
      </c>
      <c r="I60" s="84" t="s">
        <v>101</v>
      </c>
      <c r="J60" s="106">
        <v>46230</v>
      </c>
      <c r="K60" s="84" t="s">
        <v>1071</v>
      </c>
    </row>
    <row r="61" spans="1:11" ht="21.75" customHeight="1" x14ac:dyDescent="0.25">
      <c r="A61" s="84">
        <v>60</v>
      </c>
      <c r="B61" s="84" t="s">
        <v>257</v>
      </c>
      <c r="C61" s="84" t="s">
        <v>1147</v>
      </c>
      <c r="D61" s="84"/>
      <c r="E61" s="84" t="s">
        <v>26</v>
      </c>
      <c r="F61" s="84" t="s">
        <v>110</v>
      </c>
      <c r="G61" s="84" t="s">
        <v>111</v>
      </c>
      <c r="H61" s="84" t="s">
        <v>14</v>
      </c>
      <c r="I61" s="84" t="s">
        <v>101</v>
      </c>
      <c r="J61" s="106">
        <v>46230</v>
      </c>
      <c r="K61" s="84" t="s">
        <v>1071</v>
      </c>
    </row>
    <row r="62" spans="1:11" ht="21.75" customHeight="1" x14ac:dyDescent="0.25">
      <c r="A62" s="84">
        <v>61</v>
      </c>
      <c r="B62" s="84" t="s">
        <v>259</v>
      </c>
      <c r="C62" s="84" t="s">
        <v>993</v>
      </c>
      <c r="D62" s="84"/>
      <c r="E62" s="84" t="s">
        <v>26</v>
      </c>
      <c r="F62" s="84" t="s">
        <v>110</v>
      </c>
      <c r="G62" s="84" t="s">
        <v>111</v>
      </c>
      <c r="H62" s="84" t="s">
        <v>14</v>
      </c>
      <c r="I62" s="84" t="s">
        <v>101</v>
      </c>
      <c r="J62" s="106">
        <v>46230</v>
      </c>
      <c r="K62" s="84" t="s">
        <v>1071</v>
      </c>
    </row>
    <row r="63" spans="1:11" ht="21.75" customHeight="1" x14ac:dyDescent="0.25">
      <c r="A63" s="84">
        <v>62</v>
      </c>
      <c r="B63" s="84" t="s">
        <v>261</v>
      </c>
      <c r="C63" s="84" t="s">
        <v>1148</v>
      </c>
      <c r="D63" s="84"/>
      <c r="E63" s="84" t="s">
        <v>26</v>
      </c>
      <c r="F63" s="84" t="s">
        <v>110</v>
      </c>
      <c r="G63" s="84" t="s">
        <v>111</v>
      </c>
      <c r="H63" s="84" t="s">
        <v>14</v>
      </c>
      <c r="I63" s="84" t="s">
        <v>101</v>
      </c>
      <c r="J63" s="106">
        <v>46230</v>
      </c>
      <c r="K63" s="84" t="s">
        <v>1071</v>
      </c>
    </row>
    <row r="64" spans="1:11" ht="21.75" customHeight="1" x14ac:dyDescent="0.25">
      <c r="A64" s="84">
        <v>63</v>
      </c>
      <c r="B64" s="84" t="s">
        <v>263</v>
      </c>
      <c r="C64" s="84" t="s">
        <v>1149</v>
      </c>
      <c r="D64" s="84"/>
      <c r="E64" s="84" t="s">
        <v>26</v>
      </c>
      <c r="F64" s="84" t="s">
        <v>110</v>
      </c>
      <c r="G64" s="84" t="s">
        <v>111</v>
      </c>
      <c r="H64" s="84" t="s">
        <v>14</v>
      </c>
      <c r="I64" s="84" t="s">
        <v>101</v>
      </c>
      <c r="J64" s="106">
        <v>46230</v>
      </c>
      <c r="K64" s="84" t="s">
        <v>1071</v>
      </c>
    </row>
    <row r="65" spans="1:11" ht="21.75" customHeight="1" x14ac:dyDescent="0.25">
      <c r="A65" s="84">
        <v>64</v>
      </c>
      <c r="B65" s="84" t="s">
        <v>265</v>
      </c>
      <c r="C65" s="84" t="s">
        <v>1150</v>
      </c>
      <c r="D65" s="84"/>
      <c r="E65" s="84" t="s">
        <v>26</v>
      </c>
      <c r="F65" s="84" t="s">
        <v>110</v>
      </c>
      <c r="G65" s="84" t="s">
        <v>111</v>
      </c>
      <c r="H65" s="84" t="s">
        <v>14</v>
      </c>
      <c r="I65" s="84" t="s">
        <v>101</v>
      </c>
      <c r="J65" s="106">
        <v>46230</v>
      </c>
      <c r="K65" s="84" t="s">
        <v>1071</v>
      </c>
    </row>
    <row r="66" spans="1:11" ht="21.75" customHeight="1" x14ac:dyDescent="0.25">
      <c r="A66" s="84">
        <v>65</v>
      </c>
      <c r="B66" s="84" t="s">
        <v>267</v>
      </c>
      <c r="C66" s="84" t="s">
        <v>1151</v>
      </c>
      <c r="D66" s="84"/>
      <c r="E66" s="84" t="s">
        <v>26</v>
      </c>
      <c r="F66" s="84" t="s">
        <v>110</v>
      </c>
      <c r="G66" s="84" t="s">
        <v>111</v>
      </c>
      <c r="H66" s="84" t="s">
        <v>14</v>
      </c>
      <c r="I66" s="84" t="s">
        <v>101</v>
      </c>
      <c r="J66" s="106">
        <v>46230</v>
      </c>
      <c r="K66" s="84" t="s">
        <v>1071</v>
      </c>
    </row>
    <row r="67" spans="1:11" ht="21.75" customHeight="1" x14ac:dyDescent="0.25">
      <c r="A67" s="84">
        <v>66</v>
      </c>
      <c r="B67" s="84" t="s">
        <v>269</v>
      </c>
      <c r="C67" s="84" t="s">
        <v>1152</v>
      </c>
      <c r="D67" s="84"/>
      <c r="E67" s="84" t="s">
        <v>26</v>
      </c>
      <c r="F67" s="84" t="s">
        <v>110</v>
      </c>
      <c r="G67" s="84" t="s">
        <v>111</v>
      </c>
      <c r="H67" s="84" t="s">
        <v>14</v>
      </c>
      <c r="I67" s="84" t="s">
        <v>101</v>
      </c>
      <c r="J67" s="106">
        <v>46230</v>
      </c>
      <c r="K67" s="84" t="s">
        <v>1071</v>
      </c>
    </row>
    <row r="68" spans="1:11" ht="21.75" customHeight="1" x14ac:dyDescent="0.25">
      <c r="A68" s="84">
        <v>67</v>
      </c>
      <c r="B68" s="84" t="s">
        <v>271</v>
      </c>
      <c r="C68" s="84" t="s">
        <v>1153</v>
      </c>
      <c r="D68" s="84"/>
      <c r="E68" s="84" t="s">
        <v>26</v>
      </c>
      <c r="F68" s="84" t="s">
        <v>110</v>
      </c>
      <c r="G68" s="84" t="s">
        <v>111</v>
      </c>
      <c r="H68" s="84" t="s">
        <v>14</v>
      </c>
      <c r="I68" s="84" t="s">
        <v>101</v>
      </c>
      <c r="J68" s="106">
        <v>46230</v>
      </c>
      <c r="K68" s="84" t="s">
        <v>1071</v>
      </c>
    </row>
    <row r="69" spans="1:11" ht="21.75" customHeight="1" x14ac:dyDescent="0.25">
      <c r="A69" s="84">
        <v>68</v>
      </c>
      <c r="B69" s="84" t="s">
        <v>273</v>
      </c>
      <c r="C69" s="84" t="s">
        <v>1154</v>
      </c>
      <c r="D69" s="84"/>
      <c r="E69" s="84" t="s">
        <v>26</v>
      </c>
      <c r="F69" s="84" t="s">
        <v>110</v>
      </c>
      <c r="G69" s="84" t="s">
        <v>111</v>
      </c>
      <c r="H69" s="84" t="s">
        <v>14</v>
      </c>
      <c r="I69" s="84" t="s">
        <v>101</v>
      </c>
      <c r="J69" s="106">
        <v>46230</v>
      </c>
      <c r="K69" s="84" t="s">
        <v>1071</v>
      </c>
    </row>
    <row r="70" spans="1:11" ht="21.75" customHeight="1" x14ac:dyDescent="0.25">
      <c r="A70" s="84">
        <v>69</v>
      </c>
      <c r="B70" s="84" t="s">
        <v>275</v>
      </c>
      <c r="C70" s="84" t="s">
        <v>1155</v>
      </c>
      <c r="D70" s="84"/>
      <c r="E70" s="84" t="s">
        <v>26</v>
      </c>
      <c r="F70" s="84" t="s">
        <v>110</v>
      </c>
      <c r="G70" s="84" t="s">
        <v>111</v>
      </c>
      <c r="H70" s="84" t="s">
        <v>14</v>
      </c>
      <c r="I70" s="84" t="s">
        <v>101</v>
      </c>
      <c r="J70" s="106">
        <v>46230</v>
      </c>
      <c r="K70" s="84" t="s">
        <v>1071</v>
      </c>
    </row>
    <row r="71" spans="1:11" ht="21.75" customHeight="1" x14ac:dyDescent="0.25">
      <c r="A71" s="84">
        <v>70</v>
      </c>
      <c r="B71" s="84" t="s">
        <v>277</v>
      </c>
      <c r="C71" s="84" t="s">
        <v>1156</v>
      </c>
      <c r="D71" s="84"/>
      <c r="E71" s="84" t="s">
        <v>26</v>
      </c>
      <c r="F71" s="84" t="s">
        <v>110</v>
      </c>
      <c r="G71" s="84" t="s">
        <v>111</v>
      </c>
      <c r="H71" s="84" t="s">
        <v>14</v>
      </c>
      <c r="I71" s="84" t="s">
        <v>101</v>
      </c>
      <c r="J71" s="106">
        <v>46230</v>
      </c>
      <c r="K71" s="84" t="s">
        <v>1071</v>
      </c>
    </row>
    <row r="72" spans="1:11" ht="21.75" customHeight="1" x14ac:dyDescent="0.25">
      <c r="A72" s="84">
        <v>71</v>
      </c>
      <c r="B72" s="84" t="s">
        <v>279</v>
      </c>
      <c r="C72" s="84" t="s">
        <v>1157</v>
      </c>
      <c r="D72" s="84"/>
      <c r="E72" s="84" t="s">
        <v>26</v>
      </c>
      <c r="F72" s="84" t="s">
        <v>110</v>
      </c>
      <c r="G72" s="84" t="s">
        <v>111</v>
      </c>
      <c r="H72" s="84" t="s">
        <v>14</v>
      </c>
      <c r="I72" s="84" t="s">
        <v>101</v>
      </c>
      <c r="J72" s="106">
        <v>46230</v>
      </c>
      <c r="K72" s="84" t="s">
        <v>1071</v>
      </c>
    </row>
    <row r="73" spans="1:11" ht="21.75" customHeight="1" x14ac:dyDescent="0.25">
      <c r="A73" s="84">
        <v>72</v>
      </c>
      <c r="B73" s="84" t="s">
        <v>281</v>
      </c>
      <c r="C73" s="84" t="s">
        <v>1158</v>
      </c>
      <c r="D73" s="84"/>
      <c r="E73" s="84" t="s">
        <v>26</v>
      </c>
      <c r="F73" s="84" t="s">
        <v>110</v>
      </c>
      <c r="G73" s="84" t="s">
        <v>111</v>
      </c>
      <c r="H73" s="84" t="s">
        <v>14</v>
      </c>
      <c r="I73" s="84" t="s">
        <v>101</v>
      </c>
      <c r="J73" s="106">
        <v>46230</v>
      </c>
      <c r="K73" s="84" t="s">
        <v>1071</v>
      </c>
    </row>
    <row r="74" spans="1:11" ht="21.75" customHeight="1" x14ac:dyDescent="0.25">
      <c r="A74" s="84">
        <v>73</v>
      </c>
      <c r="B74" s="84" t="s">
        <v>283</v>
      </c>
      <c r="C74" s="84" t="s">
        <v>1159</v>
      </c>
      <c r="D74" s="84"/>
      <c r="E74" s="84" t="s">
        <v>26</v>
      </c>
      <c r="F74" s="84" t="s">
        <v>110</v>
      </c>
      <c r="G74" s="84" t="s">
        <v>111</v>
      </c>
      <c r="H74" s="84" t="s">
        <v>14</v>
      </c>
      <c r="I74" s="84" t="s">
        <v>101</v>
      </c>
      <c r="J74" s="106">
        <v>46230</v>
      </c>
      <c r="K74" s="84" t="s">
        <v>1071</v>
      </c>
    </row>
    <row r="75" spans="1:11" ht="21.75" customHeight="1" x14ac:dyDescent="0.25">
      <c r="A75" s="84">
        <v>74</v>
      </c>
      <c r="B75" s="84" t="s">
        <v>285</v>
      </c>
      <c r="C75" s="84" t="s">
        <v>1160</v>
      </c>
      <c r="D75" s="84"/>
      <c r="E75" s="84" t="s">
        <v>26</v>
      </c>
      <c r="F75" s="84" t="s">
        <v>110</v>
      </c>
      <c r="G75" s="84" t="s">
        <v>111</v>
      </c>
      <c r="H75" s="84" t="s">
        <v>14</v>
      </c>
      <c r="I75" s="84" t="s">
        <v>101</v>
      </c>
      <c r="J75" s="106">
        <v>46230</v>
      </c>
      <c r="K75" s="84" t="s">
        <v>1071</v>
      </c>
    </row>
    <row r="76" spans="1:11" ht="21.75" customHeight="1" x14ac:dyDescent="0.25">
      <c r="A76" s="84">
        <v>75</v>
      </c>
      <c r="B76" s="84" t="s">
        <v>287</v>
      </c>
      <c r="C76" s="84" t="s">
        <v>1161</v>
      </c>
      <c r="D76" s="84"/>
      <c r="E76" s="84" t="s">
        <v>26</v>
      </c>
      <c r="F76" s="84" t="s">
        <v>110</v>
      </c>
      <c r="G76" s="84" t="s">
        <v>111</v>
      </c>
      <c r="H76" s="84" t="s">
        <v>14</v>
      </c>
      <c r="I76" s="84" t="s">
        <v>101</v>
      </c>
      <c r="J76" s="106">
        <v>46230</v>
      </c>
      <c r="K76" s="84" t="s">
        <v>1071</v>
      </c>
    </row>
    <row r="77" spans="1:11" ht="21.75" customHeight="1" x14ac:dyDescent="0.25">
      <c r="A77" s="84">
        <v>76</v>
      </c>
      <c r="B77" s="84" t="s">
        <v>1162</v>
      </c>
      <c r="C77" s="84" t="s">
        <v>1163</v>
      </c>
      <c r="D77" s="84"/>
      <c r="E77" s="84" t="s">
        <v>39</v>
      </c>
      <c r="F77" s="84" t="s">
        <v>112</v>
      </c>
      <c r="G77" s="84" t="s">
        <v>113</v>
      </c>
      <c r="H77" s="84" t="s">
        <v>14</v>
      </c>
      <c r="I77" s="84" t="s">
        <v>101</v>
      </c>
      <c r="J77" s="106">
        <v>46230</v>
      </c>
      <c r="K77" s="84" t="s">
        <v>1071</v>
      </c>
    </row>
    <row r="78" spans="1:11" ht="21.75" customHeight="1" x14ac:dyDescent="0.25">
      <c r="A78" s="84">
        <v>77</v>
      </c>
      <c r="B78" s="84" t="s">
        <v>1164</v>
      </c>
      <c r="C78" s="84" t="s">
        <v>1165</v>
      </c>
      <c r="D78" s="84"/>
      <c r="E78" s="84" t="s">
        <v>39</v>
      </c>
      <c r="F78" s="84" t="s">
        <v>112</v>
      </c>
      <c r="G78" s="84" t="s">
        <v>113</v>
      </c>
      <c r="H78" s="84" t="s">
        <v>14</v>
      </c>
      <c r="I78" s="84" t="s">
        <v>101</v>
      </c>
      <c r="J78" s="106">
        <v>46230</v>
      </c>
      <c r="K78" s="84" t="s">
        <v>1071</v>
      </c>
    </row>
    <row r="79" spans="1:11" ht="21.75" customHeight="1" x14ac:dyDescent="0.25">
      <c r="A79" s="84">
        <v>78</v>
      </c>
      <c r="B79" s="84" t="s">
        <v>1166</v>
      </c>
      <c r="C79" s="84" t="s">
        <v>1167</v>
      </c>
      <c r="D79" s="84"/>
      <c r="E79" s="84" t="s">
        <v>39</v>
      </c>
      <c r="F79" s="84" t="s">
        <v>112</v>
      </c>
      <c r="G79" s="84" t="s">
        <v>113</v>
      </c>
      <c r="H79" s="84" t="s">
        <v>14</v>
      </c>
      <c r="I79" s="84" t="s">
        <v>101</v>
      </c>
      <c r="J79" s="106">
        <v>46230</v>
      </c>
      <c r="K79" s="84" t="s">
        <v>1071</v>
      </c>
    </row>
    <row r="80" spans="1:11" ht="15" customHeight="1" x14ac:dyDescent="0.25">
      <c r="A80" s="84">
        <v>79</v>
      </c>
      <c r="B80" s="84" t="s">
        <v>1168</v>
      </c>
      <c r="C80" s="84" t="s">
        <v>1169</v>
      </c>
      <c r="D80" s="84"/>
      <c r="E80" s="84" t="s">
        <v>39</v>
      </c>
      <c r="F80" s="84" t="s">
        <v>112</v>
      </c>
      <c r="G80" s="84" t="s">
        <v>113</v>
      </c>
      <c r="H80" s="84" t="s">
        <v>14</v>
      </c>
      <c r="I80" s="84" t="s">
        <v>101</v>
      </c>
      <c r="J80" s="106">
        <v>46230</v>
      </c>
      <c r="K80" s="84" t="s">
        <v>1071</v>
      </c>
    </row>
    <row r="81" spans="1:11" ht="15" customHeight="1" x14ac:dyDescent="0.25">
      <c r="A81" s="84">
        <v>80</v>
      </c>
      <c r="B81" s="84" t="s">
        <v>1170</v>
      </c>
      <c r="C81" s="84" t="s">
        <v>1171</v>
      </c>
      <c r="D81" s="84"/>
      <c r="E81" s="84" t="s">
        <v>39</v>
      </c>
      <c r="F81" s="84" t="s">
        <v>112</v>
      </c>
      <c r="G81" s="84" t="s">
        <v>113</v>
      </c>
      <c r="H81" s="84" t="s">
        <v>14</v>
      </c>
      <c r="I81" s="84" t="s">
        <v>101</v>
      </c>
      <c r="J81" s="106">
        <v>46230</v>
      </c>
      <c r="K81" s="84" t="s">
        <v>1071</v>
      </c>
    </row>
    <row r="82" spans="1:11" ht="15" customHeight="1" x14ac:dyDescent="0.25">
      <c r="A82" s="84">
        <v>81</v>
      </c>
      <c r="B82" s="84" t="s">
        <v>995</v>
      </c>
      <c r="C82" s="84" t="s">
        <v>996</v>
      </c>
      <c r="D82" s="84"/>
      <c r="E82" s="84" t="s">
        <v>39</v>
      </c>
      <c r="F82" s="84" t="s">
        <v>112</v>
      </c>
      <c r="G82" s="84" t="s">
        <v>113</v>
      </c>
      <c r="H82" s="84" t="s">
        <v>14</v>
      </c>
      <c r="I82" s="84" t="s">
        <v>101</v>
      </c>
      <c r="J82" s="106">
        <v>46230</v>
      </c>
      <c r="K82" s="84" t="s">
        <v>1071</v>
      </c>
    </row>
    <row r="83" spans="1:11" ht="15" customHeight="1" x14ac:dyDescent="0.25">
      <c r="A83" s="84">
        <v>82</v>
      </c>
      <c r="B83" s="84" t="s">
        <v>1172</v>
      </c>
      <c r="C83" s="84" t="s">
        <v>1173</v>
      </c>
      <c r="D83" s="84"/>
      <c r="E83" s="84" t="s">
        <v>39</v>
      </c>
      <c r="F83" s="84" t="s">
        <v>112</v>
      </c>
      <c r="G83" s="84" t="s">
        <v>113</v>
      </c>
      <c r="H83" s="84" t="s">
        <v>14</v>
      </c>
      <c r="I83" s="84" t="s">
        <v>101</v>
      </c>
      <c r="J83" s="106">
        <v>46230</v>
      </c>
      <c r="K83" s="84" t="s">
        <v>1071</v>
      </c>
    </row>
    <row r="84" spans="1:11" ht="15" customHeight="1" x14ac:dyDescent="0.25">
      <c r="A84" s="84">
        <v>83</v>
      </c>
      <c r="B84" s="84" t="s">
        <v>1174</v>
      </c>
      <c r="C84" s="84" t="s">
        <v>1175</v>
      </c>
      <c r="D84" s="84"/>
      <c r="E84" s="84" t="s">
        <v>39</v>
      </c>
      <c r="F84" s="84" t="s">
        <v>112</v>
      </c>
      <c r="G84" s="84" t="s">
        <v>113</v>
      </c>
      <c r="H84" s="84" t="s">
        <v>14</v>
      </c>
      <c r="I84" s="84" t="s">
        <v>101</v>
      </c>
      <c r="J84" s="106">
        <v>46230</v>
      </c>
      <c r="K84" s="84" t="s">
        <v>1071</v>
      </c>
    </row>
    <row r="85" spans="1:11" ht="15" customHeight="1" x14ac:dyDescent="0.25">
      <c r="A85" s="84">
        <v>84</v>
      </c>
      <c r="B85" s="84" t="s">
        <v>1176</v>
      </c>
      <c r="C85" s="84" t="s">
        <v>1177</v>
      </c>
      <c r="D85" s="84"/>
      <c r="E85" s="84" t="s">
        <v>39</v>
      </c>
      <c r="F85" s="84" t="s">
        <v>112</v>
      </c>
      <c r="G85" s="84" t="s">
        <v>113</v>
      </c>
      <c r="H85" s="84" t="s">
        <v>14</v>
      </c>
      <c r="I85" s="84" t="s">
        <v>101</v>
      </c>
      <c r="J85" s="106">
        <v>46230</v>
      </c>
      <c r="K85" s="84" t="s">
        <v>1071</v>
      </c>
    </row>
    <row r="86" spans="1:11" ht="15" customHeight="1" x14ac:dyDescent="0.25">
      <c r="A86" s="84">
        <v>85</v>
      </c>
      <c r="B86" s="84" t="s">
        <v>1178</v>
      </c>
      <c r="C86" s="84" t="s">
        <v>1179</v>
      </c>
      <c r="D86" s="84"/>
      <c r="E86" s="84" t="s">
        <v>39</v>
      </c>
      <c r="F86" s="84" t="s">
        <v>112</v>
      </c>
      <c r="G86" s="84" t="s">
        <v>113</v>
      </c>
      <c r="H86" s="84" t="s">
        <v>14</v>
      </c>
      <c r="I86" s="84" t="s">
        <v>101</v>
      </c>
      <c r="J86" s="106">
        <v>46230</v>
      </c>
      <c r="K86" s="84" t="s">
        <v>1071</v>
      </c>
    </row>
    <row r="87" spans="1:11" ht="15" customHeight="1" x14ac:dyDescent="0.25">
      <c r="A87" s="84">
        <v>86</v>
      </c>
      <c r="B87" s="84" t="s">
        <v>1180</v>
      </c>
      <c r="C87" s="84" t="s">
        <v>1181</v>
      </c>
      <c r="D87" s="84"/>
      <c r="E87" s="84" t="s">
        <v>39</v>
      </c>
      <c r="F87" s="84" t="s">
        <v>112</v>
      </c>
      <c r="G87" s="84" t="s">
        <v>113</v>
      </c>
      <c r="H87" s="84" t="s">
        <v>14</v>
      </c>
      <c r="I87" s="84" t="s">
        <v>101</v>
      </c>
      <c r="J87" s="106">
        <v>46230</v>
      </c>
      <c r="K87" s="84" t="s">
        <v>1071</v>
      </c>
    </row>
    <row r="88" spans="1:11" ht="15" customHeight="1" x14ac:dyDescent="0.25">
      <c r="A88" s="84">
        <v>87</v>
      </c>
      <c r="B88" s="84" t="s">
        <v>1182</v>
      </c>
      <c r="C88" s="84" t="s">
        <v>1183</v>
      </c>
      <c r="D88" s="84"/>
      <c r="E88" s="84" t="s">
        <v>39</v>
      </c>
      <c r="F88" s="84" t="s">
        <v>112</v>
      </c>
      <c r="G88" s="84" t="s">
        <v>113</v>
      </c>
      <c r="H88" s="84" t="s">
        <v>14</v>
      </c>
      <c r="I88" s="84" t="s">
        <v>101</v>
      </c>
      <c r="J88" s="106">
        <v>46230</v>
      </c>
      <c r="K88" s="84" t="s">
        <v>1071</v>
      </c>
    </row>
    <row r="89" spans="1:11" ht="15" customHeight="1" x14ac:dyDescent="0.25">
      <c r="A89" s="84">
        <v>88</v>
      </c>
      <c r="B89" s="84" t="s">
        <v>1184</v>
      </c>
      <c r="C89" s="84" t="s">
        <v>1185</v>
      </c>
      <c r="D89" s="84"/>
      <c r="E89" s="84" t="s">
        <v>39</v>
      </c>
      <c r="F89" s="84" t="s">
        <v>112</v>
      </c>
      <c r="G89" s="84" t="s">
        <v>113</v>
      </c>
      <c r="H89" s="84" t="s">
        <v>14</v>
      </c>
      <c r="I89" s="84" t="s">
        <v>101</v>
      </c>
      <c r="J89" s="106">
        <v>46230</v>
      </c>
      <c r="K89" s="84" t="s">
        <v>1071</v>
      </c>
    </row>
    <row r="90" spans="1:11" ht="15" customHeight="1" x14ac:dyDescent="0.25">
      <c r="A90" s="84">
        <v>89</v>
      </c>
      <c r="B90" s="84" t="s">
        <v>1186</v>
      </c>
      <c r="C90" s="84" t="s">
        <v>1187</v>
      </c>
      <c r="D90" s="84"/>
      <c r="E90" s="84" t="s">
        <v>39</v>
      </c>
      <c r="F90" s="84" t="s">
        <v>112</v>
      </c>
      <c r="G90" s="84" t="s">
        <v>113</v>
      </c>
      <c r="H90" s="84" t="s">
        <v>14</v>
      </c>
      <c r="I90" s="84" t="s">
        <v>101</v>
      </c>
      <c r="J90" s="106">
        <v>46230</v>
      </c>
      <c r="K90" s="84" t="s">
        <v>1071</v>
      </c>
    </row>
    <row r="91" spans="1:11" ht="15" customHeight="1" x14ac:dyDescent="0.25">
      <c r="A91" s="84">
        <v>90</v>
      </c>
      <c r="B91" s="84" t="s">
        <v>1188</v>
      </c>
      <c r="C91" s="84" t="s">
        <v>1189</v>
      </c>
      <c r="D91" s="84"/>
      <c r="E91" s="84" t="s">
        <v>39</v>
      </c>
      <c r="F91" s="84" t="s">
        <v>112</v>
      </c>
      <c r="G91" s="84" t="s">
        <v>113</v>
      </c>
      <c r="H91" s="84" t="s">
        <v>14</v>
      </c>
      <c r="I91" s="84" t="s">
        <v>101</v>
      </c>
      <c r="J91" s="106">
        <v>46230</v>
      </c>
      <c r="K91" s="84" t="s">
        <v>1071</v>
      </c>
    </row>
    <row r="92" spans="1:11" ht="15" customHeight="1" x14ac:dyDescent="0.25">
      <c r="A92" s="84">
        <v>91</v>
      </c>
      <c r="B92" s="84" t="s">
        <v>1190</v>
      </c>
      <c r="C92" s="84" t="s">
        <v>1191</v>
      </c>
      <c r="D92" s="84"/>
      <c r="E92" s="84" t="s">
        <v>39</v>
      </c>
      <c r="F92" s="84" t="s">
        <v>112</v>
      </c>
      <c r="G92" s="84" t="s">
        <v>113</v>
      </c>
      <c r="H92" s="84" t="s">
        <v>14</v>
      </c>
      <c r="I92" s="84" t="s">
        <v>101</v>
      </c>
      <c r="J92" s="106">
        <v>46230</v>
      </c>
      <c r="K92" s="84" t="s">
        <v>1071</v>
      </c>
    </row>
    <row r="93" spans="1:11" ht="15" customHeight="1" x14ac:dyDescent="0.25">
      <c r="A93" s="84">
        <v>92</v>
      </c>
      <c r="B93" s="84" t="s">
        <v>1192</v>
      </c>
      <c r="C93" s="84" t="s">
        <v>1193</v>
      </c>
      <c r="D93" s="84"/>
      <c r="E93" s="84" t="s">
        <v>42</v>
      </c>
      <c r="F93" s="84" t="s">
        <v>114</v>
      </c>
      <c r="G93" s="84" t="s">
        <v>115</v>
      </c>
      <c r="H93" s="84" t="s">
        <v>14</v>
      </c>
      <c r="I93" s="84" t="s">
        <v>101</v>
      </c>
      <c r="J93" s="106">
        <v>46230</v>
      </c>
      <c r="K93" s="84" t="s">
        <v>1071</v>
      </c>
    </row>
    <row r="94" spans="1:11" ht="15" customHeight="1" x14ac:dyDescent="0.25">
      <c r="A94" s="84">
        <v>93</v>
      </c>
      <c r="B94" s="84" t="s">
        <v>1194</v>
      </c>
      <c r="C94" s="84" t="s">
        <v>1195</v>
      </c>
      <c r="D94" s="84"/>
      <c r="E94" s="84" t="s">
        <v>42</v>
      </c>
      <c r="F94" s="84" t="s">
        <v>114</v>
      </c>
      <c r="G94" s="84" t="s">
        <v>115</v>
      </c>
      <c r="H94" s="84" t="s">
        <v>14</v>
      </c>
      <c r="I94" s="84" t="s">
        <v>101</v>
      </c>
      <c r="J94" s="106">
        <v>46230</v>
      </c>
      <c r="K94" s="84" t="s">
        <v>1071</v>
      </c>
    </row>
    <row r="95" spans="1:11" ht="15" customHeight="1" x14ac:dyDescent="0.25">
      <c r="A95" s="84">
        <v>94</v>
      </c>
      <c r="B95" s="84" t="s">
        <v>1196</v>
      </c>
      <c r="C95" s="84" t="s">
        <v>1197</v>
      </c>
      <c r="D95" s="84"/>
      <c r="E95" s="84" t="s">
        <v>42</v>
      </c>
      <c r="F95" s="84" t="s">
        <v>114</v>
      </c>
      <c r="G95" s="84" t="s">
        <v>115</v>
      </c>
      <c r="H95" s="84" t="s">
        <v>14</v>
      </c>
      <c r="I95" s="84" t="s">
        <v>101</v>
      </c>
      <c r="J95" s="106">
        <v>46230</v>
      </c>
      <c r="K95" s="84" t="s">
        <v>1071</v>
      </c>
    </row>
    <row r="96" spans="1:11" ht="15" customHeight="1" x14ac:dyDescent="0.25">
      <c r="A96" s="84">
        <v>95</v>
      </c>
      <c r="B96" s="84" t="s">
        <v>1198</v>
      </c>
      <c r="C96" s="84" t="s">
        <v>1199</v>
      </c>
      <c r="D96" s="84"/>
      <c r="E96" s="84" t="s">
        <v>42</v>
      </c>
      <c r="F96" s="84" t="s">
        <v>114</v>
      </c>
      <c r="G96" s="84" t="s">
        <v>115</v>
      </c>
      <c r="H96" s="84" t="s">
        <v>14</v>
      </c>
      <c r="I96" s="84" t="s">
        <v>101</v>
      </c>
      <c r="J96" s="106">
        <v>46230</v>
      </c>
      <c r="K96" s="84" t="s">
        <v>1071</v>
      </c>
    </row>
    <row r="97" spans="1:11" ht="15" customHeight="1" x14ac:dyDescent="0.25">
      <c r="A97" s="84">
        <v>96</v>
      </c>
      <c r="B97" s="84" t="s">
        <v>1200</v>
      </c>
      <c r="C97" s="84" t="s">
        <v>1201</v>
      </c>
      <c r="D97" s="84"/>
      <c r="E97" s="84" t="s">
        <v>42</v>
      </c>
      <c r="F97" s="84" t="s">
        <v>114</v>
      </c>
      <c r="G97" s="84" t="s">
        <v>115</v>
      </c>
      <c r="H97" s="84" t="s">
        <v>14</v>
      </c>
      <c r="I97" s="84" t="s">
        <v>101</v>
      </c>
      <c r="J97" s="106">
        <v>46230</v>
      </c>
      <c r="K97" s="84" t="s">
        <v>1071</v>
      </c>
    </row>
    <row r="98" spans="1:11" ht="15" customHeight="1" x14ac:dyDescent="0.25">
      <c r="A98" s="84">
        <v>97</v>
      </c>
      <c r="B98" s="84" t="s">
        <v>1202</v>
      </c>
      <c r="C98" s="84" t="s">
        <v>1203</v>
      </c>
      <c r="D98" s="84"/>
      <c r="E98" s="84" t="s">
        <v>42</v>
      </c>
      <c r="F98" s="84" t="s">
        <v>114</v>
      </c>
      <c r="G98" s="84" t="s">
        <v>115</v>
      </c>
      <c r="H98" s="84" t="s">
        <v>14</v>
      </c>
      <c r="I98" s="84" t="s">
        <v>101</v>
      </c>
      <c r="J98" s="106">
        <v>46230</v>
      </c>
      <c r="K98" s="84" t="s">
        <v>1071</v>
      </c>
    </row>
    <row r="99" spans="1:11" ht="15" customHeight="1" x14ac:dyDescent="0.25">
      <c r="A99" s="84">
        <v>98</v>
      </c>
      <c r="B99" s="84" t="s">
        <v>1204</v>
      </c>
      <c r="C99" s="84" t="s">
        <v>1205</v>
      </c>
      <c r="D99" s="84"/>
      <c r="E99" s="84" t="s">
        <v>42</v>
      </c>
      <c r="F99" s="84" t="s">
        <v>114</v>
      </c>
      <c r="G99" s="84" t="s">
        <v>115</v>
      </c>
      <c r="H99" s="84" t="s">
        <v>14</v>
      </c>
      <c r="I99" s="84" t="s">
        <v>101</v>
      </c>
      <c r="J99" s="106">
        <v>46230</v>
      </c>
      <c r="K99" s="84" t="s">
        <v>1071</v>
      </c>
    </row>
    <row r="100" spans="1:11" ht="15" customHeight="1" x14ac:dyDescent="0.25">
      <c r="A100" s="84">
        <v>99</v>
      </c>
      <c r="B100" s="84" t="s">
        <v>1206</v>
      </c>
      <c r="C100" s="84" t="s">
        <v>1207</v>
      </c>
      <c r="D100" s="84"/>
      <c r="E100" s="84" t="s">
        <v>42</v>
      </c>
      <c r="F100" s="84" t="s">
        <v>114</v>
      </c>
      <c r="G100" s="84" t="s">
        <v>115</v>
      </c>
      <c r="H100" s="84" t="s">
        <v>14</v>
      </c>
      <c r="I100" s="84" t="s">
        <v>101</v>
      </c>
      <c r="J100" s="106">
        <v>46230</v>
      </c>
      <c r="K100" s="84" t="s">
        <v>1071</v>
      </c>
    </row>
    <row r="101" spans="1:11" ht="15" customHeight="1" x14ac:dyDescent="0.25">
      <c r="A101" s="84">
        <v>100</v>
      </c>
      <c r="B101" s="84" t="s">
        <v>1208</v>
      </c>
      <c r="C101" s="84" t="s">
        <v>1209</v>
      </c>
      <c r="D101" s="84"/>
      <c r="E101" s="84" t="s">
        <v>42</v>
      </c>
      <c r="F101" s="84" t="s">
        <v>114</v>
      </c>
      <c r="G101" s="84" t="s">
        <v>115</v>
      </c>
      <c r="H101" s="84" t="s">
        <v>14</v>
      </c>
      <c r="I101" s="84" t="s">
        <v>101</v>
      </c>
      <c r="J101" s="106">
        <v>46230</v>
      </c>
      <c r="K101" s="84" t="s">
        <v>1071</v>
      </c>
    </row>
    <row r="102" spans="1:11" ht="15" customHeight="1" x14ac:dyDescent="0.25">
      <c r="A102" s="84">
        <v>101</v>
      </c>
      <c r="B102" s="84" t="s">
        <v>998</v>
      </c>
      <c r="C102" s="84" t="s">
        <v>999</v>
      </c>
      <c r="D102" s="84"/>
      <c r="E102" s="84" t="s">
        <v>42</v>
      </c>
      <c r="F102" s="84" t="s">
        <v>114</v>
      </c>
      <c r="G102" s="84" t="s">
        <v>115</v>
      </c>
      <c r="H102" s="84" t="s">
        <v>14</v>
      </c>
      <c r="I102" s="84" t="s">
        <v>101</v>
      </c>
      <c r="J102" s="106">
        <v>46230</v>
      </c>
      <c r="K102" s="84" t="s">
        <v>1071</v>
      </c>
    </row>
    <row r="103" spans="1:11" ht="15" customHeight="1" x14ac:dyDescent="0.25">
      <c r="A103" s="84">
        <v>102</v>
      </c>
      <c r="B103" s="84" t="s">
        <v>1210</v>
      </c>
      <c r="C103" s="84" t="s">
        <v>1211</v>
      </c>
      <c r="D103" s="84"/>
      <c r="E103" s="84" t="s">
        <v>42</v>
      </c>
      <c r="F103" s="84" t="s">
        <v>114</v>
      </c>
      <c r="G103" s="84" t="s">
        <v>115</v>
      </c>
      <c r="H103" s="84" t="s">
        <v>14</v>
      </c>
      <c r="I103" s="84" t="s">
        <v>101</v>
      </c>
      <c r="J103" s="106">
        <v>46230</v>
      </c>
      <c r="K103" s="84" t="s">
        <v>1071</v>
      </c>
    </row>
    <row r="104" spans="1:11" ht="15" customHeight="1" x14ac:dyDescent="0.25">
      <c r="A104" s="84">
        <v>103</v>
      </c>
      <c r="B104" s="84" t="s">
        <v>1212</v>
      </c>
      <c r="C104" s="84" t="s">
        <v>1213</v>
      </c>
      <c r="D104" s="84"/>
      <c r="E104" s="84" t="s">
        <v>42</v>
      </c>
      <c r="F104" s="84" t="s">
        <v>114</v>
      </c>
      <c r="G104" s="84" t="s">
        <v>115</v>
      </c>
      <c r="H104" s="84" t="s">
        <v>14</v>
      </c>
      <c r="I104" s="84" t="s">
        <v>101</v>
      </c>
      <c r="J104" s="106">
        <v>46230</v>
      </c>
      <c r="K104" s="84" t="s">
        <v>1071</v>
      </c>
    </row>
    <row r="105" spans="1:11" ht="15" customHeight="1" x14ac:dyDescent="0.25">
      <c r="A105" s="84">
        <v>104</v>
      </c>
      <c r="B105" s="84" t="s">
        <v>1214</v>
      </c>
      <c r="C105" s="84" t="s">
        <v>1215</v>
      </c>
      <c r="D105" s="84"/>
      <c r="E105" s="84" t="s">
        <v>42</v>
      </c>
      <c r="F105" s="84" t="s">
        <v>114</v>
      </c>
      <c r="G105" s="84" t="s">
        <v>115</v>
      </c>
      <c r="H105" s="84" t="s">
        <v>14</v>
      </c>
      <c r="I105" s="84" t="s">
        <v>101</v>
      </c>
      <c r="J105" s="106">
        <v>46230</v>
      </c>
      <c r="K105" s="84" t="s">
        <v>1071</v>
      </c>
    </row>
    <row r="106" spans="1:11" ht="15" customHeight="1" x14ac:dyDescent="0.25">
      <c r="A106" s="84">
        <v>105</v>
      </c>
      <c r="B106" s="84" t="s">
        <v>1216</v>
      </c>
      <c r="C106" s="84" t="s">
        <v>1217</v>
      </c>
      <c r="D106" s="84"/>
      <c r="E106" s="84" t="s">
        <v>42</v>
      </c>
      <c r="F106" s="84" t="s">
        <v>114</v>
      </c>
      <c r="G106" s="84" t="s">
        <v>115</v>
      </c>
      <c r="H106" s="84" t="s">
        <v>14</v>
      </c>
      <c r="I106" s="84" t="s">
        <v>101</v>
      </c>
      <c r="J106" s="106">
        <v>46230</v>
      </c>
      <c r="K106" s="84" t="s">
        <v>1071</v>
      </c>
    </row>
    <row r="107" spans="1:11" ht="15" customHeight="1" x14ac:dyDescent="0.25">
      <c r="A107" s="84">
        <v>106</v>
      </c>
      <c r="B107" s="84" t="s">
        <v>1218</v>
      </c>
      <c r="C107" s="84" t="s">
        <v>1219</v>
      </c>
      <c r="D107" s="84"/>
      <c r="E107" s="84" t="s">
        <v>42</v>
      </c>
      <c r="F107" s="84" t="s">
        <v>114</v>
      </c>
      <c r="G107" s="84" t="s">
        <v>115</v>
      </c>
      <c r="H107" s="84" t="s">
        <v>14</v>
      </c>
      <c r="I107" s="84" t="s">
        <v>101</v>
      </c>
      <c r="J107" s="106">
        <v>46230</v>
      </c>
      <c r="K107" s="84" t="s">
        <v>1071</v>
      </c>
    </row>
    <row r="108" spans="1:11" ht="15" customHeight="1" x14ac:dyDescent="0.25">
      <c r="A108" s="84">
        <v>107</v>
      </c>
      <c r="B108" s="84" t="s">
        <v>1220</v>
      </c>
      <c r="C108" s="84" t="s">
        <v>1221</v>
      </c>
      <c r="D108" s="84"/>
      <c r="E108" s="84" t="s">
        <v>42</v>
      </c>
      <c r="F108" s="84" t="s">
        <v>114</v>
      </c>
      <c r="G108" s="84" t="s">
        <v>115</v>
      </c>
      <c r="H108" s="84" t="s">
        <v>14</v>
      </c>
      <c r="I108" s="84" t="s">
        <v>101</v>
      </c>
      <c r="J108" s="106">
        <v>46230</v>
      </c>
      <c r="K108" s="84" t="s">
        <v>1071</v>
      </c>
    </row>
    <row r="109" spans="1:11" ht="15" customHeight="1" x14ac:dyDescent="0.25">
      <c r="A109" s="84">
        <v>108</v>
      </c>
      <c r="B109" s="84" t="s">
        <v>1222</v>
      </c>
      <c r="C109" s="84" t="s">
        <v>1223</v>
      </c>
      <c r="D109" s="84"/>
      <c r="E109" s="84" t="s">
        <v>42</v>
      </c>
      <c r="F109" s="84" t="s">
        <v>114</v>
      </c>
      <c r="G109" s="84" t="s">
        <v>115</v>
      </c>
      <c r="H109" s="84" t="s">
        <v>14</v>
      </c>
      <c r="I109" s="84" t="s">
        <v>101</v>
      </c>
      <c r="J109" s="106">
        <v>46230</v>
      </c>
      <c r="K109" s="84" t="s">
        <v>1071</v>
      </c>
    </row>
    <row r="110" spans="1:11" ht="15" customHeight="1" x14ac:dyDescent="0.25">
      <c r="A110" s="84">
        <v>109</v>
      </c>
      <c r="B110" s="84" t="s">
        <v>1224</v>
      </c>
      <c r="C110" s="84" t="s">
        <v>1225</v>
      </c>
      <c r="D110" s="84"/>
      <c r="E110" s="84" t="s">
        <v>42</v>
      </c>
      <c r="F110" s="84" t="s">
        <v>114</v>
      </c>
      <c r="G110" s="84" t="s">
        <v>115</v>
      </c>
      <c r="H110" s="84" t="s">
        <v>14</v>
      </c>
      <c r="I110" s="84" t="s">
        <v>101</v>
      </c>
      <c r="J110" s="106">
        <v>46230</v>
      </c>
      <c r="K110" s="84" t="s">
        <v>1071</v>
      </c>
    </row>
    <row r="111" spans="1:11" ht="15" customHeight="1" x14ac:dyDescent="0.25">
      <c r="A111" s="84">
        <v>110</v>
      </c>
      <c r="B111" s="84" t="s">
        <v>1226</v>
      </c>
      <c r="C111" s="84" t="s">
        <v>1227</v>
      </c>
      <c r="D111" s="84"/>
      <c r="E111" s="84" t="s">
        <v>42</v>
      </c>
      <c r="F111" s="84" t="s">
        <v>114</v>
      </c>
      <c r="G111" s="84" t="s">
        <v>115</v>
      </c>
      <c r="H111" s="84" t="s">
        <v>14</v>
      </c>
      <c r="I111" s="84" t="s">
        <v>101</v>
      </c>
      <c r="J111" s="106">
        <v>46230</v>
      </c>
      <c r="K111" s="84" t="s">
        <v>1071</v>
      </c>
    </row>
    <row r="112" spans="1:11" ht="15" customHeight="1" x14ac:dyDescent="0.25">
      <c r="A112" s="84">
        <v>111</v>
      </c>
      <c r="B112" s="84" t="s">
        <v>1228</v>
      </c>
      <c r="C112" s="84" t="s">
        <v>1229</v>
      </c>
      <c r="D112" s="84"/>
      <c r="E112" s="84" t="s">
        <v>42</v>
      </c>
      <c r="F112" s="84" t="s">
        <v>114</v>
      </c>
      <c r="G112" s="84" t="s">
        <v>115</v>
      </c>
      <c r="H112" s="84" t="s">
        <v>14</v>
      </c>
      <c r="I112" s="84" t="s">
        <v>101</v>
      </c>
      <c r="J112" s="106">
        <v>46230</v>
      </c>
      <c r="K112" s="84" t="s">
        <v>1071</v>
      </c>
    </row>
    <row r="113" spans="1:11" ht="15" customHeight="1" x14ac:dyDescent="0.25">
      <c r="A113" s="84">
        <v>112</v>
      </c>
      <c r="B113" s="84" t="s">
        <v>1230</v>
      </c>
      <c r="C113" s="84" t="s">
        <v>1231</v>
      </c>
      <c r="D113" s="84"/>
      <c r="E113" s="84" t="s">
        <v>42</v>
      </c>
      <c r="F113" s="84" t="s">
        <v>114</v>
      </c>
      <c r="G113" s="84" t="s">
        <v>115</v>
      </c>
      <c r="H113" s="84" t="s">
        <v>14</v>
      </c>
      <c r="I113" s="84" t="s">
        <v>101</v>
      </c>
      <c r="J113" s="106">
        <v>46230</v>
      </c>
      <c r="K113" s="84" t="s">
        <v>1071</v>
      </c>
    </row>
    <row r="114" spans="1:11" ht="15" customHeight="1" x14ac:dyDescent="0.25">
      <c r="A114" s="84">
        <v>113</v>
      </c>
      <c r="B114" s="84" t="s">
        <v>1232</v>
      </c>
      <c r="C114" s="84" t="s">
        <v>1233</v>
      </c>
      <c r="D114" s="84"/>
      <c r="E114" s="84" t="s">
        <v>44</v>
      </c>
      <c r="F114" s="84" t="s">
        <v>116</v>
      </c>
      <c r="G114" s="84" t="s">
        <v>117</v>
      </c>
      <c r="H114" s="84" t="s">
        <v>14</v>
      </c>
      <c r="I114" s="84" t="s">
        <v>101</v>
      </c>
      <c r="J114" s="106">
        <v>46230</v>
      </c>
      <c r="K114" s="84" t="s">
        <v>1071</v>
      </c>
    </row>
    <row r="115" spans="1:11" ht="15" customHeight="1" x14ac:dyDescent="0.25">
      <c r="A115" s="84">
        <v>114</v>
      </c>
      <c r="B115" s="84" t="s">
        <v>1234</v>
      </c>
      <c r="C115" s="84" t="s">
        <v>1235</v>
      </c>
      <c r="D115" s="84"/>
      <c r="E115" s="84" t="s">
        <v>44</v>
      </c>
      <c r="F115" s="84" t="s">
        <v>116</v>
      </c>
      <c r="G115" s="84" t="s">
        <v>117</v>
      </c>
      <c r="H115" s="84" t="s">
        <v>14</v>
      </c>
      <c r="I115" s="84" t="s">
        <v>101</v>
      </c>
      <c r="J115" s="106">
        <v>46230</v>
      </c>
      <c r="K115" s="84" t="s">
        <v>1071</v>
      </c>
    </row>
    <row r="116" spans="1:11" ht="15" customHeight="1" x14ac:dyDescent="0.25">
      <c r="A116" s="84">
        <v>115</v>
      </c>
      <c r="B116" s="84" t="s">
        <v>1236</v>
      </c>
      <c r="C116" s="84" t="s">
        <v>1237</v>
      </c>
      <c r="D116" s="84"/>
      <c r="E116" s="84" t="s">
        <v>44</v>
      </c>
      <c r="F116" s="84" t="s">
        <v>116</v>
      </c>
      <c r="G116" s="84" t="s">
        <v>117</v>
      </c>
      <c r="H116" s="84" t="s">
        <v>14</v>
      </c>
      <c r="I116" s="84" t="s">
        <v>101</v>
      </c>
      <c r="J116" s="106">
        <v>46230</v>
      </c>
      <c r="K116" s="84" t="s">
        <v>1071</v>
      </c>
    </row>
    <row r="117" spans="1:11" ht="15" customHeight="1" x14ac:dyDescent="0.25">
      <c r="A117" s="84">
        <v>116</v>
      </c>
      <c r="B117" s="84" t="s">
        <v>1238</v>
      </c>
      <c r="C117" s="84" t="s">
        <v>1239</v>
      </c>
      <c r="D117" s="84"/>
      <c r="E117" s="84" t="s">
        <v>44</v>
      </c>
      <c r="F117" s="84" t="s">
        <v>116</v>
      </c>
      <c r="G117" s="84" t="s">
        <v>117</v>
      </c>
      <c r="H117" s="84" t="s">
        <v>14</v>
      </c>
      <c r="I117" s="84" t="s">
        <v>101</v>
      </c>
      <c r="J117" s="106">
        <v>46230</v>
      </c>
      <c r="K117" s="84" t="s">
        <v>1071</v>
      </c>
    </row>
    <row r="118" spans="1:11" ht="15" customHeight="1" x14ac:dyDescent="0.25">
      <c r="A118" s="84">
        <v>117</v>
      </c>
      <c r="B118" s="84" t="s">
        <v>1240</v>
      </c>
      <c r="C118" s="84" t="s">
        <v>1241</v>
      </c>
      <c r="D118" s="84"/>
      <c r="E118" s="84" t="s">
        <v>44</v>
      </c>
      <c r="F118" s="84" t="s">
        <v>116</v>
      </c>
      <c r="G118" s="84" t="s">
        <v>117</v>
      </c>
      <c r="H118" s="84" t="s">
        <v>14</v>
      </c>
      <c r="I118" s="84" t="s">
        <v>101</v>
      </c>
      <c r="J118" s="106">
        <v>46230</v>
      </c>
      <c r="K118" s="84" t="s">
        <v>1071</v>
      </c>
    </row>
    <row r="119" spans="1:11" ht="15" customHeight="1" x14ac:dyDescent="0.25">
      <c r="A119" s="84">
        <v>118</v>
      </c>
      <c r="B119" s="84" t="s">
        <v>1242</v>
      </c>
      <c r="C119" s="84" t="s">
        <v>1243</v>
      </c>
      <c r="D119" s="84"/>
      <c r="E119" s="84" t="s">
        <v>44</v>
      </c>
      <c r="F119" s="84" t="s">
        <v>116</v>
      </c>
      <c r="G119" s="84" t="s">
        <v>117</v>
      </c>
      <c r="H119" s="84" t="s">
        <v>14</v>
      </c>
      <c r="I119" s="84" t="s">
        <v>101</v>
      </c>
      <c r="J119" s="106">
        <v>46230</v>
      </c>
      <c r="K119" s="84" t="s">
        <v>1071</v>
      </c>
    </row>
    <row r="120" spans="1:11" ht="15" customHeight="1" x14ac:dyDescent="0.25">
      <c r="A120" s="84">
        <v>119</v>
      </c>
      <c r="B120" s="84" t="s">
        <v>1244</v>
      </c>
      <c r="C120" s="84" t="s">
        <v>1245</v>
      </c>
      <c r="D120" s="84"/>
      <c r="E120" s="84" t="s">
        <v>44</v>
      </c>
      <c r="F120" s="84" t="s">
        <v>116</v>
      </c>
      <c r="G120" s="84" t="s">
        <v>117</v>
      </c>
      <c r="H120" s="84" t="s">
        <v>14</v>
      </c>
      <c r="I120" s="84" t="s">
        <v>101</v>
      </c>
      <c r="J120" s="106">
        <v>46230</v>
      </c>
      <c r="K120" s="84" t="s">
        <v>1071</v>
      </c>
    </row>
    <row r="121" spans="1:11" ht="15" customHeight="1" x14ac:dyDescent="0.25">
      <c r="A121" s="84">
        <v>120</v>
      </c>
      <c r="B121" s="84" t="s">
        <v>1246</v>
      </c>
      <c r="C121" s="84" t="s">
        <v>1247</v>
      </c>
      <c r="D121" s="84"/>
      <c r="E121" s="84" t="s">
        <v>44</v>
      </c>
      <c r="F121" s="84" t="s">
        <v>116</v>
      </c>
      <c r="G121" s="84" t="s">
        <v>117</v>
      </c>
      <c r="H121" s="84" t="s">
        <v>14</v>
      </c>
      <c r="I121" s="84" t="s">
        <v>101</v>
      </c>
      <c r="J121" s="106">
        <v>46230</v>
      </c>
      <c r="K121" s="84" t="s">
        <v>1071</v>
      </c>
    </row>
    <row r="122" spans="1:11" ht="15" customHeight="1" x14ac:dyDescent="0.25">
      <c r="A122" s="84">
        <v>121</v>
      </c>
      <c r="B122" s="84" t="s">
        <v>1000</v>
      </c>
      <c r="C122" s="84" t="s">
        <v>1001</v>
      </c>
      <c r="D122" s="84"/>
      <c r="E122" s="84" t="s">
        <v>44</v>
      </c>
      <c r="F122" s="84" t="s">
        <v>116</v>
      </c>
      <c r="G122" s="84" t="s">
        <v>117</v>
      </c>
      <c r="H122" s="84" t="s">
        <v>14</v>
      </c>
      <c r="I122" s="84" t="s">
        <v>101</v>
      </c>
      <c r="J122" s="106">
        <v>46230</v>
      </c>
      <c r="K122" s="84" t="s">
        <v>1071</v>
      </c>
    </row>
    <row r="123" spans="1:11" ht="15" customHeight="1" x14ac:dyDescent="0.25">
      <c r="A123" s="84">
        <v>122</v>
      </c>
      <c r="B123" s="84" t="s">
        <v>1248</v>
      </c>
      <c r="C123" s="84" t="s">
        <v>1249</v>
      </c>
      <c r="D123" s="84"/>
      <c r="E123" s="84" t="s">
        <v>44</v>
      </c>
      <c r="F123" s="84" t="s">
        <v>116</v>
      </c>
      <c r="G123" s="84" t="s">
        <v>117</v>
      </c>
      <c r="H123" s="84" t="s">
        <v>14</v>
      </c>
      <c r="I123" s="84" t="s">
        <v>101</v>
      </c>
      <c r="J123" s="106">
        <v>46230</v>
      </c>
      <c r="K123" s="84" t="s">
        <v>1071</v>
      </c>
    </row>
    <row r="124" spans="1:11" ht="15" customHeight="1" x14ac:dyDescent="0.25">
      <c r="A124" s="84">
        <v>123</v>
      </c>
      <c r="B124" s="84" t="s">
        <v>1250</v>
      </c>
      <c r="C124" s="84" t="s">
        <v>1251</v>
      </c>
      <c r="D124" s="84"/>
      <c r="E124" s="84" t="s">
        <v>44</v>
      </c>
      <c r="F124" s="84" t="s">
        <v>116</v>
      </c>
      <c r="G124" s="84" t="s">
        <v>117</v>
      </c>
      <c r="H124" s="84" t="s">
        <v>14</v>
      </c>
      <c r="I124" s="84" t="s">
        <v>101</v>
      </c>
      <c r="J124" s="106">
        <v>46230</v>
      </c>
      <c r="K124" s="84" t="s">
        <v>1071</v>
      </c>
    </row>
    <row r="125" spans="1:11" ht="15" customHeight="1" x14ac:dyDescent="0.25">
      <c r="A125" s="84">
        <v>124</v>
      </c>
      <c r="B125" s="84" t="s">
        <v>1252</v>
      </c>
      <c r="C125" s="84" t="s">
        <v>1253</v>
      </c>
      <c r="D125" s="84"/>
      <c r="E125" s="84" t="s">
        <v>44</v>
      </c>
      <c r="F125" s="84" t="s">
        <v>116</v>
      </c>
      <c r="G125" s="84" t="s">
        <v>117</v>
      </c>
      <c r="H125" s="84" t="s">
        <v>14</v>
      </c>
      <c r="I125" s="84" t="s">
        <v>101</v>
      </c>
      <c r="J125" s="106">
        <v>46230</v>
      </c>
      <c r="K125" s="84" t="s">
        <v>1071</v>
      </c>
    </row>
    <row r="126" spans="1:11" ht="15" customHeight="1" x14ac:dyDescent="0.25">
      <c r="A126" s="84">
        <v>125</v>
      </c>
      <c r="B126" s="84" t="s">
        <v>1254</v>
      </c>
      <c r="C126" s="84" t="s">
        <v>1255</v>
      </c>
      <c r="D126" s="84"/>
      <c r="E126" s="84" t="s">
        <v>44</v>
      </c>
      <c r="F126" s="84" t="s">
        <v>116</v>
      </c>
      <c r="G126" s="84" t="s">
        <v>117</v>
      </c>
      <c r="H126" s="84" t="s">
        <v>14</v>
      </c>
      <c r="I126" s="84" t="s">
        <v>101</v>
      </c>
      <c r="J126" s="106">
        <v>46230</v>
      </c>
      <c r="K126" s="84" t="s">
        <v>1071</v>
      </c>
    </row>
    <row r="127" spans="1:11" ht="15" customHeight="1" x14ac:dyDescent="0.25">
      <c r="A127" s="84">
        <v>126</v>
      </c>
      <c r="B127" s="84" t="s">
        <v>1256</v>
      </c>
      <c r="C127" s="84" t="s">
        <v>1257</v>
      </c>
      <c r="D127" s="84"/>
      <c r="E127" s="84" t="s">
        <v>44</v>
      </c>
      <c r="F127" s="84" t="s">
        <v>116</v>
      </c>
      <c r="G127" s="84" t="s">
        <v>117</v>
      </c>
      <c r="H127" s="84" t="s">
        <v>14</v>
      </c>
      <c r="I127" s="84" t="s">
        <v>101</v>
      </c>
      <c r="J127" s="106">
        <v>46230</v>
      </c>
      <c r="K127" s="84" t="s">
        <v>1071</v>
      </c>
    </row>
    <row r="128" spans="1:11" ht="15" customHeight="1" x14ac:dyDescent="0.25">
      <c r="A128" s="84">
        <v>127</v>
      </c>
      <c r="B128" s="84" t="s">
        <v>1258</v>
      </c>
      <c r="C128" s="84" t="s">
        <v>1259</v>
      </c>
      <c r="D128" s="84"/>
      <c r="E128" s="84" t="s">
        <v>44</v>
      </c>
      <c r="F128" s="84" t="s">
        <v>116</v>
      </c>
      <c r="G128" s="84" t="s">
        <v>117</v>
      </c>
      <c r="H128" s="84" t="s">
        <v>14</v>
      </c>
      <c r="I128" s="84" t="s">
        <v>101</v>
      </c>
      <c r="J128" s="106">
        <v>46230</v>
      </c>
      <c r="K128" s="84" t="s">
        <v>1071</v>
      </c>
    </row>
    <row r="129" spans="1:11" ht="15" customHeight="1" x14ac:dyDescent="0.25">
      <c r="A129" s="84">
        <v>128</v>
      </c>
      <c r="B129" s="84" t="s">
        <v>1260</v>
      </c>
      <c r="C129" s="84" t="s">
        <v>1261</v>
      </c>
      <c r="D129" s="84"/>
      <c r="E129" s="84" t="s">
        <v>44</v>
      </c>
      <c r="F129" s="84" t="s">
        <v>116</v>
      </c>
      <c r="G129" s="84" t="s">
        <v>117</v>
      </c>
      <c r="H129" s="84" t="s">
        <v>14</v>
      </c>
      <c r="I129" s="84" t="s">
        <v>101</v>
      </c>
      <c r="J129" s="106">
        <v>46230</v>
      </c>
      <c r="K129" s="84" t="s">
        <v>1071</v>
      </c>
    </row>
    <row r="130" spans="1:11" ht="15" customHeight="1" x14ac:dyDescent="0.25">
      <c r="A130" s="84">
        <v>129</v>
      </c>
      <c r="B130" s="84" t="s">
        <v>1262</v>
      </c>
      <c r="C130" s="84" t="s">
        <v>1263</v>
      </c>
      <c r="D130" s="84"/>
      <c r="E130" s="84" t="s">
        <v>44</v>
      </c>
      <c r="F130" s="84" t="s">
        <v>116</v>
      </c>
      <c r="G130" s="84" t="s">
        <v>117</v>
      </c>
      <c r="H130" s="84" t="s">
        <v>14</v>
      </c>
      <c r="I130" s="84" t="s">
        <v>101</v>
      </c>
      <c r="J130" s="106">
        <v>46230</v>
      </c>
      <c r="K130" s="84" t="s">
        <v>1071</v>
      </c>
    </row>
    <row r="131" spans="1:11" ht="15" customHeight="1" x14ac:dyDescent="0.25">
      <c r="A131" s="84">
        <v>130</v>
      </c>
      <c r="B131" s="84" t="s">
        <v>1264</v>
      </c>
      <c r="C131" s="84" t="s">
        <v>1265</v>
      </c>
      <c r="D131" s="84"/>
      <c r="E131" s="84" t="s">
        <v>44</v>
      </c>
      <c r="F131" s="84" t="s">
        <v>116</v>
      </c>
      <c r="G131" s="84" t="s">
        <v>117</v>
      </c>
      <c r="H131" s="84" t="s">
        <v>14</v>
      </c>
      <c r="I131" s="84" t="s">
        <v>101</v>
      </c>
      <c r="J131" s="106">
        <v>46230</v>
      </c>
      <c r="K131" s="84" t="s">
        <v>1071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2" customWidth="1"/>
    <col min="3" max="3" width="14" customWidth="1"/>
    <col min="4" max="4" width="16" customWidth="1"/>
    <col min="5" max="5" width="14" customWidth="1"/>
    <col min="6" max="7" width="12" customWidth="1"/>
    <col min="8" max="8" width="10" customWidth="1"/>
    <col min="9" max="9" width="18" customWidth="1"/>
    <col min="10" max="10" width="14" customWidth="1"/>
    <col min="11" max="11" width="26" customWidth="1"/>
    <col min="12" max="12" width="30" customWidth="1"/>
  </cols>
  <sheetData>
    <row r="1" spans="1:12" ht="21.75" customHeight="1" x14ac:dyDescent="0.25">
      <c r="A1" s="107" t="s">
        <v>521</v>
      </c>
      <c r="B1" s="107" t="s">
        <v>99</v>
      </c>
      <c r="C1" s="107" t="s">
        <v>100</v>
      </c>
      <c r="D1" s="107" t="s">
        <v>3</v>
      </c>
      <c r="E1" s="107" t="s">
        <v>558</v>
      </c>
      <c r="F1" s="107" t="s">
        <v>528</v>
      </c>
      <c r="G1" s="107" t="s">
        <v>559</v>
      </c>
      <c r="H1" s="107" t="s">
        <v>4</v>
      </c>
      <c r="I1" s="107" t="s">
        <v>530</v>
      </c>
      <c r="J1" s="107" t="s">
        <v>560</v>
      </c>
      <c r="K1" s="107" t="s">
        <v>1266</v>
      </c>
      <c r="L1" s="107" t="s">
        <v>1267</v>
      </c>
    </row>
    <row r="2" spans="1:12" ht="21.75" customHeight="1" x14ac:dyDescent="0.25">
      <c r="A2" s="84">
        <v>1</v>
      </c>
      <c r="B2" s="84" t="s">
        <v>9</v>
      </c>
      <c r="C2" s="84" t="s">
        <v>104</v>
      </c>
      <c r="D2" s="84" t="s">
        <v>41</v>
      </c>
      <c r="E2" s="84">
        <v>15</v>
      </c>
      <c r="F2" s="84">
        <v>20</v>
      </c>
      <c r="G2" s="84">
        <v>11.66</v>
      </c>
      <c r="H2" s="85">
        <f t="shared" ref="H2:H21" si="0">G2/F2</f>
        <v>0.58299999999999996</v>
      </c>
      <c r="I2" s="84" t="s">
        <v>517</v>
      </c>
      <c r="J2" s="84">
        <v>4</v>
      </c>
      <c r="K2" s="84" t="s">
        <v>1268</v>
      </c>
      <c r="L2" s="84" t="s">
        <v>1269</v>
      </c>
    </row>
    <row r="3" spans="1:12" ht="21.75" customHeight="1" x14ac:dyDescent="0.25">
      <c r="A3" s="84">
        <v>2</v>
      </c>
      <c r="B3" s="84" t="s">
        <v>12</v>
      </c>
      <c r="C3" s="84" t="s">
        <v>106</v>
      </c>
      <c r="D3" s="84" t="s">
        <v>8</v>
      </c>
      <c r="E3" s="84">
        <v>20</v>
      </c>
      <c r="F3" s="84">
        <v>20</v>
      </c>
      <c r="G3" s="84">
        <v>9.6</v>
      </c>
      <c r="H3" s="85">
        <f t="shared" si="0"/>
        <v>0.48</v>
      </c>
      <c r="I3" s="84" t="s">
        <v>1270</v>
      </c>
      <c r="J3" s="84">
        <v>8</v>
      </c>
      <c r="K3" s="84" t="s">
        <v>564</v>
      </c>
      <c r="L3" s="84" t="s">
        <v>70</v>
      </c>
    </row>
    <row r="4" spans="1:12" ht="21.75" customHeight="1" x14ac:dyDescent="0.25">
      <c r="A4" s="84">
        <v>3</v>
      </c>
      <c r="B4" s="84" t="s">
        <v>12</v>
      </c>
      <c r="C4" s="84" t="s">
        <v>106</v>
      </c>
      <c r="D4" s="84" t="s">
        <v>11</v>
      </c>
      <c r="E4" s="84">
        <v>20</v>
      </c>
      <c r="F4" s="84">
        <v>20</v>
      </c>
      <c r="G4" s="84">
        <v>10.4</v>
      </c>
      <c r="H4" s="85">
        <f t="shared" si="0"/>
        <v>0.52</v>
      </c>
      <c r="I4" s="84" t="s">
        <v>517</v>
      </c>
      <c r="J4" s="84">
        <v>5</v>
      </c>
      <c r="K4" s="84" t="s">
        <v>1271</v>
      </c>
      <c r="L4" s="84" t="s">
        <v>1272</v>
      </c>
    </row>
    <row r="5" spans="1:12" ht="21.75" customHeight="1" x14ac:dyDescent="0.25">
      <c r="A5" s="84">
        <v>4</v>
      </c>
      <c r="B5" s="84" t="s">
        <v>12</v>
      </c>
      <c r="C5" s="84" t="s">
        <v>106</v>
      </c>
      <c r="D5" s="84" t="s">
        <v>22</v>
      </c>
      <c r="E5" s="84">
        <v>20</v>
      </c>
      <c r="F5" s="84">
        <v>20</v>
      </c>
      <c r="G5" s="84">
        <v>9</v>
      </c>
      <c r="H5" s="85">
        <f t="shared" si="0"/>
        <v>0.45</v>
      </c>
      <c r="I5" s="84" t="s">
        <v>1270</v>
      </c>
      <c r="J5" s="84">
        <v>9</v>
      </c>
      <c r="K5" s="84" t="s">
        <v>1273</v>
      </c>
      <c r="L5" s="84" t="s">
        <v>1274</v>
      </c>
    </row>
    <row r="6" spans="1:12" ht="21.75" customHeight="1" x14ac:dyDescent="0.25">
      <c r="A6" s="84">
        <v>5</v>
      </c>
      <c r="B6" s="84" t="s">
        <v>12</v>
      </c>
      <c r="C6" s="84" t="s">
        <v>106</v>
      </c>
      <c r="D6" s="84" t="s">
        <v>38</v>
      </c>
      <c r="E6" s="84">
        <v>20</v>
      </c>
      <c r="F6" s="84">
        <v>20</v>
      </c>
      <c r="G6" s="84">
        <v>11</v>
      </c>
      <c r="H6" s="85">
        <f t="shared" si="0"/>
        <v>0.55000000000000004</v>
      </c>
      <c r="I6" s="84" t="s">
        <v>517</v>
      </c>
      <c r="J6" s="84">
        <v>4</v>
      </c>
      <c r="K6" s="84" t="s">
        <v>564</v>
      </c>
      <c r="L6" s="84" t="s">
        <v>1275</v>
      </c>
    </row>
    <row r="7" spans="1:12" ht="21.75" customHeight="1" x14ac:dyDescent="0.25">
      <c r="A7" s="84">
        <v>6</v>
      </c>
      <c r="B7" s="84" t="s">
        <v>23</v>
      </c>
      <c r="C7" s="84" t="s">
        <v>108</v>
      </c>
      <c r="D7" s="84" t="s">
        <v>8</v>
      </c>
      <c r="E7" s="84">
        <v>20</v>
      </c>
      <c r="F7" s="84">
        <v>20</v>
      </c>
      <c r="G7" s="84">
        <v>7.6</v>
      </c>
      <c r="H7" s="85">
        <f t="shared" si="0"/>
        <v>0.38</v>
      </c>
      <c r="I7" s="84" t="s">
        <v>1270</v>
      </c>
      <c r="J7" s="84">
        <v>10</v>
      </c>
      <c r="K7" s="84" t="s">
        <v>1276</v>
      </c>
      <c r="L7" s="84" t="s">
        <v>69</v>
      </c>
    </row>
    <row r="8" spans="1:12" ht="21.75" customHeight="1" x14ac:dyDescent="0.25">
      <c r="A8" s="84">
        <v>7</v>
      </c>
      <c r="B8" s="84" t="s">
        <v>23</v>
      </c>
      <c r="C8" s="84" t="s">
        <v>108</v>
      </c>
      <c r="D8" s="84" t="s">
        <v>11</v>
      </c>
      <c r="E8" s="84">
        <v>20</v>
      </c>
      <c r="F8" s="84">
        <v>20</v>
      </c>
      <c r="G8" s="84">
        <v>10</v>
      </c>
      <c r="H8" s="85">
        <f t="shared" si="0"/>
        <v>0.5</v>
      </c>
      <c r="I8" s="84" t="s">
        <v>517</v>
      </c>
      <c r="J8" s="84">
        <v>7</v>
      </c>
      <c r="K8" s="84" t="s">
        <v>1277</v>
      </c>
      <c r="L8" s="84" t="s">
        <v>1278</v>
      </c>
    </row>
    <row r="9" spans="1:12" ht="21.75" customHeight="1" x14ac:dyDescent="0.25">
      <c r="A9" s="84">
        <v>8</v>
      </c>
      <c r="B9" s="84" t="s">
        <v>23</v>
      </c>
      <c r="C9" s="84" t="s">
        <v>108</v>
      </c>
      <c r="D9" s="84" t="s">
        <v>22</v>
      </c>
      <c r="E9" s="84">
        <v>20</v>
      </c>
      <c r="F9" s="84">
        <v>20</v>
      </c>
      <c r="G9" s="84">
        <v>8</v>
      </c>
      <c r="H9" s="85">
        <f t="shared" si="0"/>
        <v>0.4</v>
      </c>
      <c r="I9" s="84" t="s">
        <v>1270</v>
      </c>
      <c r="J9" s="84">
        <v>11</v>
      </c>
      <c r="K9" s="84" t="s">
        <v>569</v>
      </c>
      <c r="L9" s="84" t="s">
        <v>67</v>
      </c>
    </row>
    <row r="10" spans="1:12" ht="21.75" customHeight="1" x14ac:dyDescent="0.25">
      <c r="A10" s="84">
        <v>9</v>
      </c>
      <c r="B10" s="84" t="s">
        <v>26</v>
      </c>
      <c r="C10" s="84" t="s">
        <v>110</v>
      </c>
      <c r="D10" s="84" t="s">
        <v>8</v>
      </c>
      <c r="E10" s="84">
        <v>20</v>
      </c>
      <c r="F10" s="84">
        <v>20</v>
      </c>
      <c r="G10" s="84">
        <v>12.4</v>
      </c>
      <c r="H10" s="85">
        <f t="shared" si="0"/>
        <v>0.62</v>
      </c>
      <c r="I10" s="84" t="s">
        <v>517</v>
      </c>
      <c r="J10" s="84">
        <v>5</v>
      </c>
      <c r="K10" s="84" t="s">
        <v>1279</v>
      </c>
      <c r="L10" s="84" t="s">
        <v>1280</v>
      </c>
    </row>
    <row r="11" spans="1:12" ht="21.75" customHeight="1" x14ac:dyDescent="0.25">
      <c r="A11" s="84">
        <v>10</v>
      </c>
      <c r="B11" s="84" t="s">
        <v>26</v>
      </c>
      <c r="C11" s="84" t="s">
        <v>110</v>
      </c>
      <c r="D11" s="84" t="s">
        <v>11</v>
      </c>
      <c r="E11" s="84">
        <v>20</v>
      </c>
      <c r="F11" s="84">
        <v>20</v>
      </c>
      <c r="G11" s="84">
        <v>15</v>
      </c>
      <c r="H11" s="85">
        <f t="shared" si="0"/>
        <v>0.75</v>
      </c>
      <c r="I11" s="84" t="s">
        <v>516</v>
      </c>
      <c r="J11" s="84">
        <v>2</v>
      </c>
      <c r="K11" s="84" t="s">
        <v>574</v>
      </c>
      <c r="L11" s="84" t="s">
        <v>575</v>
      </c>
    </row>
    <row r="12" spans="1:12" ht="21.75" customHeight="1" x14ac:dyDescent="0.25">
      <c r="A12" s="84">
        <v>11</v>
      </c>
      <c r="B12" s="84" t="s">
        <v>26</v>
      </c>
      <c r="C12" s="84" t="s">
        <v>110</v>
      </c>
      <c r="D12" s="84" t="s">
        <v>22</v>
      </c>
      <c r="E12" s="84">
        <v>20</v>
      </c>
      <c r="F12" s="84">
        <v>20</v>
      </c>
      <c r="G12" s="84">
        <v>10.4</v>
      </c>
      <c r="H12" s="85">
        <f t="shared" si="0"/>
        <v>0.52</v>
      </c>
      <c r="I12" s="84" t="s">
        <v>517</v>
      </c>
      <c r="J12" s="84">
        <v>5</v>
      </c>
      <c r="K12" s="84" t="s">
        <v>1281</v>
      </c>
      <c r="L12" s="84" t="s">
        <v>1282</v>
      </c>
    </row>
    <row r="13" spans="1:12" ht="21.75" customHeight="1" x14ac:dyDescent="0.25">
      <c r="A13" s="84">
        <v>12</v>
      </c>
      <c r="B13" s="84" t="s">
        <v>39</v>
      </c>
      <c r="C13" s="84" t="s">
        <v>112</v>
      </c>
      <c r="D13" s="84" t="s">
        <v>8</v>
      </c>
      <c r="E13" s="84">
        <v>16</v>
      </c>
      <c r="F13" s="84">
        <v>20</v>
      </c>
      <c r="G13" s="84">
        <v>10</v>
      </c>
      <c r="H13" s="85">
        <f t="shared" si="0"/>
        <v>0.5</v>
      </c>
      <c r="I13" s="84" t="s">
        <v>517</v>
      </c>
      <c r="J13" s="84">
        <v>5</v>
      </c>
      <c r="K13" s="84" t="s">
        <v>1283</v>
      </c>
      <c r="L13" s="84" t="s">
        <v>1284</v>
      </c>
    </row>
    <row r="14" spans="1:12" ht="21.75" customHeight="1" x14ac:dyDescent="0.25">
      <c r="A14" s="84">
        <v>13</v>
      </c>
      <c r="B14" s="84" t="s">
        <v>39</v>
      </c>
      <c r="C14" s="84" t="s">
        <v>112</v>
      </c>
      <c r="D14" s="84" t="s">
        <v>22</v>
      </c>
      <c r="E14" s="84">
        <v>16</v>
      </c>
      <c r="F14" s="84">
        <v>20</v>
      </c>
      <c r="G14" s="84">
        <v>9</v>
      </c>
      <c r="H14" s="85">
        <f t="shared" si="0"/>
        <v>0.45</v>
      </c>
      <c r="I14" s="84" t="s">
        <v>1270</v>
      </c>
      <c r="J14" s="84">
        <v>7</v>
      </c>
      <c r="K14" s="84" t="s">
        <v>1285</v>
      </c>
      <c r="L14" s="84" t="s">
        <v>1286</v>
      </c>
    </row>
    <row r="15" spans="1:12" ht="21.75" customHeight="1" x14ac:dyDescent="0.25">
      <c r="A15" s="84">
        <v>14</v>
      </c>
      <c r="B15" s="84" t="s">
        <v>39</v>
      </c>
      <c r="C15" s="84" t="s">
        <v>112</v>
      </c>
      <c r="D15" s="84" t="s">
        <v>25</v>
      </c>
      <c r="E15" s="84">
        <v>16</v>
      </c>
      <c r="F15" s="84">
        <v>20</v>
      </c>
      <c r="G15" s="84">
        <v>9.6</v>
      </c>
      <c r="H15" s="85">
        <f t="shared" si="0"/>
        <v>0.48</v>
      </c>
      <c r="I15" s="84" t="s">
        <v>1270</v>
      </c>
      <c r="J15" s="84">
        <v>6</v>
      </c>
      <c r="K15" s="84" t="s">
        <v>1287</v>
      </c>
      <c r="L15" s="84" t="s">
        <v>1288</v>
      </c>
    </row>
    <row r="16" spans="1:12" ht="21.75" customHeight="1" x14ac:dyDescent="0.25">
      <c r="A16" s="84">
        <v>15</v>
      </c>
      <c r="B16" s="84" t="s">
        <v>42</v>
      </c>
      <c r="C16" s="84" t="s">
        <v>114</v>
      </c>
      <c r="D16" s="84" t="s">
        <v>8</v>
      </c>
      <c r="E16" s="84">
        <v>21</v>
      </c>
      <c r="F16" s="84">
        <v>20</v>
      </c>
      <c r="G16" s="84">
        <v>8.2899999999999991</v>
      </c>
      <c r="H16" s="85">
        <f t="shared" si="0"/>
        <v>0.41449999999999998</v>
      </c>
      <c r="I16" s="84" t="s">
        <v>1270</v>
      </c>
      <c r="J16" s="84">
        <v>10</v>
      </c>
      <c r="K16" s="84" t="s">
        <v>1289</v>
      </c>
      <c r="L16" s="84" t="s">
        <v>1280</v>
      </c>
    </row>
    <row r="17" spans="1:12" ht="21.75" customHeight="1" x14ac:dyDescent="0.25">
      <c r="A17" s="84">
        <v>16</v>
      </c>
      <c r="B17" s="84" t="s">
        <v>42</v>
      </c>
      <c r="C17" s="84" t="s">
        <v>114</v>
      </c>
      <c r="D17" s="84" t="s">
        <v>11</v>
      </c>
      <c r="E17" s="84">
        <v>21</v>
      </c>
      <c r="F17" s="84">
        <v>20</v>
      </c>
      <c r="G17" s="84">
        <v>13.33</v>
      </c>
      <c r="H17" s="85">
        <f t="shared" si="0"/>
        <v>0.66649999999999998</v>
      </c>
      <c r="I17" s="84" t="s">
        <v>517</v>
      </c>
      <c r="J17" s="84">
        <v>4</v>
      </c>
      <c r="K17" s="84" t="s">
        <v>1290</v>
      </c>
      <c r="L17" s="84" t="s">
        <v>1291</v>
      </c>
    </row>
    <row r="18" spans="1:12" ht="21.75" customHeight="1" x14ac:dyDescent="0.25">
      <c r="A18" s="84">
        <v>17</v>
      </c>
      <c r="B18" s="84" t="s">
        <v>42</v>
      </c>
      <c r="C18" s="84" t="s">
        <v>114</v>
      </c>
      <c r="D18" s="84" t="s">
        <v>22</v>
      </c>
      <c r="E18" s="84">
        <v>21</v>
      </c>
      <c r="F18" s="84">
        <v>20</v>
      </c>
      <c r="G18" s="84">
        <v>7.71</v>
      </c>
      <c r="H18" s="85">
        <f t="shared" si="0"/>
        <v>0.38550000000000001</v>
      </c>
      <c r="I18" s="84" t="s">
        <v>1270</v>
      </c>
      <c r="J18" s="84">
        <v>12</v>
      </c>
      <c r="K18" s="84" t="s">
        <v>1292</v>
      </c>
      <c r="L18" s="84" t="s">
        <v>66</v>
      </c>
    </row>
    <row r="19" spans="1:12" ht="21.75" customHeight="1" x14ac:dyDescent="0.25">
      <c r="A19" s="84">
        <v>18</v>
      </c>
      <c r="B19" s="84" t="s">
        <v>44</v>
      </c>
      <c r="C19" s="84" t="s">
        <v>116</v>
      </c>
      <c r="D19" s="84" t="s">
        <v>8</v>
      </c>
      <c r="E19" s="84">
        <v>18</v>
      </c>
      <c r="F19" s="84">
        <v>20</v>
      </c>
      <c r="G19" s="84">
        <v>9</v>
      </c>
      <c r="H19" s="85">
        <f t="shared" si="0"/>
        <v>0.45</v>
      </c>
      <c r="I19" s="84" t="s">
        <v>1270</v>
      </c>
      <c r="J19" s="84">
        <v>8</v>
      </c>
      <c r="K19" s="84" t="s">
        <v>1293</v>
      </c>
      <c r="L19" s="84" t="s">
        <v>1294</v>
      </c>
    </row>
    <row r="20" spans="1:12" ht="21.75" customHeight="1" x14ac:dyDescent="0.25">
      <c r="A20" s="84">
        <v>19</v>
      </c>
      <c r="B20" s="84" t="s">
        <v>44</v>
      </c>
      <c r="C20" s="84" t="s">
        <v>116</v>
      </c>
      <c r="D20" s="84" t="s">
        <v>11</v>
      </c>
      <c r="E20" s="84">
        <v>18</v>
      </c>
      <c r="F20" s="84">
        <v>20</v>
      </c>
      <c r="G20" s="84">
        <v>11</v>
      </c>
      <c r="H20" s="85">
        <f t="shared" si="0"/>
        <v>0.55000000000000004</v>
      </c>
      <c r="I20" s="84" t="s">
        <v>517</v>
      </c>
      <c r="J20" s="84">
        <v>5</v>
      </c>
      <c r="K20" s="84" t="s">
        <v>1295</v>
      </c>
      <c r="L20" s="84" t="s">
        <v>1296</v>
      </c>
    </row>
    <row r="21" spans="1:12" ht="21.75" customHeight="1" x14ac:dyDescent="0.25">
      <c r="A21" s="84">
        <v>20</v>
      </c>
      <c r="B21" s="84" t="s">
        <v>44</v>
      </c>
      <c r="C21" s="84" t="s">
        <v>116</v>
      </c>
      <c r="D21" s="84" t="s">
        <v>22</v>
      </c>
      <c r="E21" s="84">
        <v>18</v>
      </c>
      <c r="F21" s="84">
        <v>20</v>
      </c>
      <c r="G21" s="84">
        <v>8</v>
      </c>
      <c r="H21" s="85">
        <f t="shared" si="0"/>
        <v>0.4</v>
      </c>
      <c r="I21" s="84" t="s">
        <v>1270</v>
      </c>
      <c r="J21" s="84">
        <v>10</v>
      </c>
      <c r="K21" s="84" t="s">
        <v>878</v>
      </c>
      <c r="L21" s="84" t="s">
        <v>68</v>
      </c>
    </row>
    <row r="22" spans="1:12" ht="21.75" customHeight="1" x14ac:dyDescent="0.25"/>
    <row r="23" spans="1:12" ht="21.75" customHeight="1" x14ac:dyDescent="0.25"/>
    <row r="24" spans="1:12" ht="21.75" customHeight="1" x14ac:dyDescent="0.25"/>
    <row r="25" spans="1:12" ht="21.75" customHeight="1" x14ac:dyDescent="0.25"/>
    <row r="26" spans="1:12" ht="21.75" customHeight="1" x14ac:dyDescent="0.25"/>
    <row r="27" spans="1:12" ht="21.75" customHeight="1" x14ac:dyDescent="0.25"/>
    <row r="28" spans="1:12" ht="21.75" customHeight="1" x14ac:dyDescent="0.25"/>
    <row r="29" spans="1:12" ht="21.75" customHeight="1" x14ac:dyDescent="0.25"/>
    <row r="30" spans="1:12" ht="21.75" customHeight="1" x14ac:dyDescent="0.25"/>
    <row r="31" spans="1:12" ht="21.75" customHeight="1" x14ac:dyDescent="0.25"/>
    <row r="32" spans="1:1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8" customWidth="1"/>
    <col min="3" max="3" width="22" customWidth="1"/>
    <col min="4" max="5" width="10" customWidth="1"/>
    <col min="6" max="7" width="16" customWidth="1"/>
    <col min="8" max="8" width="22" customWidth="1"/>
    <col min="9" max="9" width="14" customWidth="1"/>
    <col min="10" max="10" width="35" customWidth="1"/>
  </cols>
  <sheetData>
    <row r="1" spans="1:10" ht="21.75" customHeight="1" x14ac:dyDescent="0.25">
      <c r="A1" s="108" t="s">
        <v>1297</v>
      </c>
      <c r="B1" s="108" t="s">
        <v>1298</v>
      </c>
      <c r="C1" s="108" t="s">
        <v>1299</v>
      </c>
      <c r="D1" s="108" t="s">
        <v>1300</v>
      </c>
      <c r="E1" s="108" t="s">
        <v>1301</v>
      </c>
      <c r="F1" s="108" t="s">
        <v>1302</v>
      </c>
      <c r="G1" s="108" t="s">
        <v>1303</v>
      </c>
      <c r="H1" s="108" t="s">
        <v>1304</v>
      </c>
      <c r="I1" s="108" t="s">
        <v>56</v>
      </c>
      <c r="J1" s="108" t="s">
        <v>471</v>
      </c>
    </row>
    <row r="2" spans="1:10" ht="21.75" customHeight="1" x14ac:dyDescent="0.25">
      <c r="A2" s="84">
        <v>1</v>
      </c>
      <c r="B2" s="84" t="s">
        <v>1305</v>
      </c>
      <c r="C2" s="109">
        <v>46230.440972222197</v>
      </c>
      <c r="D2" s="84">
        <v>3</v>
      </c>
      <c r="E2" s="84">
        <v>127</v>
      </c>
      <c r="F2" s="84">
        <v>0</v>
      </c>
      <c r="G2" s="84">
        <v>130</v>
      </c>
      <c r="H2" s="84" t="s">
        <v>636</v>
      </c>
      <c r="I2" s="84" t="s">
        <v>1306</v>
      </c>
      <c r="J2" s="84" t="s">
        <v>1307</v>
      </c>
    </row>
    <row r="3" spans="1:10" ht="21.75" customHeight="1" x14ac:dyDescent="0.25">
      <c r="A3" s="84">
        <v>2</v>
      </c>
      <c r="B3" s="84" t="s">
        <v>1308</v>
      </c>
      <c r="C3" s="109">
        <v>46230.614583333299</v>
      </c>
      <c r="D3" s="84">
        <v>0</v>
      </c>
      <c r="E3" s="84">
        <v>2</v>
      </c>
      <c r="F3" s="84">
        <v>1</v>
      </c>
      <c r="G3" s="84">
        <v>130</v>
      </c>
      <c r="H3" s="84" t="s">
        <v>636</v>
      </c>
      <c r="I3" s="84" t="s">
        <v>1306</v>
      </c>
      <c r="J3" s="84" t="s">
        <v>1309</v>
      </c>
    </row>
    <row r="4" spans="1:10" ht="21.75" customHeight="1" x14ac:dyDescent="0.25"/>
    <row r="5" spans="1:10" ht="21.75" customHeight="1" x14ac:dyDescent="0.25"/>
    <row r="6" spans="1:10" ht="21.75" customHeight="1" x14ac:dyDescent="0.25"/>
    <row r="7" spans="1:10" ht="21.75" customHeight="1" x14ac:dyDescent="0.25"/>
    <row r="8" spans="1:10" ht="21.75" customHeight="1" x14ac:dyDescent="0.25"/>
    <row r="9" spans="1:10" ht="21.75" customHeight="1" x14ac:dyDescent="0.25"/>
    <row r="10" spans="1:10" ht="21.75" customHeight="1" x14ac:dyDescent="0.25"/>
    <row r="11" spans="1:10" ht="21.75" customHeight="1" x14ac:dyDescent="0.25"/>
    <row r="12" spans="1:10" ht="21.75" customHeight="1" x14ac:dyDescent="0.25"/>
    <row r="13" spans="1:10" ht="21.75" customHeight="1" x14ac:dyDescent="0.25"/>
    <row r="14" spans="1:10" ht="21.75" customHeight="1" x14ac:dyDescent="0.25"/>
    <row r="15" spans="1:10" ht="21.75" customHeight="1" x14ac:dyDescent="0.25"/>
    <row r="16" spans="1:10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42" customWidth="1"/>
    <col min="3" max="6" width="16" customWidth="1"/>
  </cols>
  <sheetData>
    <row r="1" spans="1:6" ht="21.75" customHeight="1" x14ac:dyDescent="0.35">
      <c r="A1" s="133" t="s">
        <v>1310</v>
      </c>
      <c r="B1" s="133"/>
      <c r="C1" s="133"/>
      <c r="D1" s="133"/>
      <c r="E1" s="133"/>
      <c r="F1" s="133"/>
    </row>
    <row r="2" spans="1:6" ht="21.75" customHeight="1" x14ac:dyDescent="0.25">
      <c r="A2" s="44" t="s">
        <v>56</v>
      </c>
      <c r="B2" s="44" t="s">
        <v>1311</v>
      </c>
      <c r="C2" s="44" t="s">
        <v>1312</v>
      </c>
      <c r="D2" s="44" t="s">
        <v>1313</v>
      </c>
      <c r="E2" s="44" t="s">
        <v>1314</v>
      </c>
      <c r="F2" s="44" t="s">
        <v>1315</v>
      </c>
    </row>
    <row r="3" spans="1:6" ht="21.75" customHeight="1" x14ac:dyDescent="0.25">
      <c r="A3" s="110" t="s">
        <v>21</v>
      </c>
      <c r="B3" s="110" t="s">
        <v>1316</v>
      </c>
      <c r="C3" s="110" t="s">
        <v>1317</v>
      </c>
      <c r="D3" s="110" t="s">
        <v>1318</v>
      </c>
      <c r="E3" s="110">
        <v>1</v>
      </c>
      <c r="F3" s="110" t="s">
        <v>630</v>
      </c>
    </row>
    <row r="4" spans="1:6" ht="21.75" customHeight="1" x14ac:dyDescent="0.25">
      <c r="A4" s="110" t="s">
        <v>24</v>
      </c>
      <c r="B4" s="110" t="s">
        <v>1319</v>
      </c>
      <c r="C4" s="110" t="s">
        <v>1320</v>
      </c>
      <c r="D4" s="110" t="s">
        <v>1321</v>
      </c>
      <c r="E4" s="110">
        <v>2</v>
      </c>
      <c r="F4" s="110" t="s">
        <v>630</v>
      </c>
    </row>
    <row r="5" spans="1:6" ht="21.75" customHeight="1" x14ac:dyDescent="0.25">
      <c r="A5" s="110" t="s">
        <v>37</v>
      </c>
      <c r="B5" s="110" t="s">
        <v>1322</v>
      </c>
      <c r="C5" s="110" t="s">
        <v>1323</v>
      </c>
      <c r="D5" s="110" t="s">
        <v>1324</v>
      </c>
      <c r="E5" s="110">
        <v>3</v>
      </c>
      <c r="F5" s="110" t="s">
        <v>630</v>
      </c>
    </row>
    <row r="6" spans="1:6" ht="21.75" customHeight="1" x14ac:dyDescent="0.25">
      <c r="A6" s="110" t="s">
        <v>40</v>
      </c>
      <c r="B6" s="110" t="s">
        <v>1325</v>
      </c>
      <c r="C6" s="110" t="s">
        <v>1326</v>
      </c>
      <c r="D6" s="110" t="s">
        <v>1327</v>
      </c>
      <c r="E6" s="110">
        <v>4</v>
      </c>
      <c r="F6" s="110" t="s">
        <v>630</v>
      </c>
    </row>
    <row r="7" spans="1:6" ht="21.75" customHeight="1" x14ac:dyDescent="0.25">
      <c r="A7" s="110" t="s">
        <v>43</v>
      </c>
      <c r="B7" s="110" t="s">
        <v>1328</v>
      </c>
      <c r="C7" s="110" t="s">
        <v>1329</v>
      </c>
      <c r="D7" s="110" t="s">
        <v>1330</v>
      </c>
      <c r="E7" s="110">
        <v>5</v>
      </c>
      <c r="F7" s="110" t="s">
        <v>630</v>
      </c>
    </row>
    <row r="8" spans="1:6" ht="21.75" customHeight="1" x14ac:dyDescent="0.25"/>
    <row r="9" spans="1:6" ht="21.75" customHeight="1" x14ac:dyDescent="0.25"/>
    <row r="10" spans="1:6" ht="21.75" customHeight="1" x14ac:dyDescent="0.25"/>
    <row r="11" spans="1:6" ht="21.75" customHeight="1" x14ac:dyDescent="0.25"/>
    <row r="12" spans="1:6" ht="21.75" customHeight="1" x14ac:dyDescent="0.25"/>
    <row r="13" spans="1:6" ht="21.75" customHeight="1" x14ac:dyDescent="0.25"/>
    <row r="14" spans="1:6" ht="21.75" customHeight="1" x14ac:dyDescent="0.25"/>
    <row r="15" spans="1:6" ht="21.75" customHeight="1" x14ac:dyDescent="0.25"/>
    <row r="16" spans="1:6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9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38" customWidth="1"/>
    <col min="4" max="4" width="28" customWidth="1"/>
    <col min="5" max="5" width="38" customWidth="1"/>
  </cols>
  <sheetData>
    <row r="1" spans="1:8" ht="21.75" customHeight="1" x14ac:dyDescent="0.4">
      <c r="A1" s="134" t="s">
        <v>1331</v>
      </c>
      <c r="B1" s="134"/>
      <c r="C1" s="134"/>
      <c r="D1" s="134"/>
      <c r="E1" s="134"/>
      <c r="F1" s="134"/>
      <c r="G1" s="134"/>
      <c r="H1" s="134"/>
    </row>
    <row r="2" spans="1:8" ht="21.75" customHeight="1" x14ac:dyDescent="0.25"/>
    <row r="3" spans="1:8" ht="21.75" customHeight="1" x14ac:dyDescent="0.3">
      <c r="A3" s="111" t="s">
        <v>1332</v>
      </c>
      <c r="B3" t="s">
        <v>1333</v>
      </c>
      <c r="D3" s="111" t="s">
        <v>1334</v>
      </c>
      <c r="E3" t="s">
        <v>1335</v>
      </c>
    </row>
    <row r="4" spans="1:8" ht="21.75" customHeight="1" x14ac:dyDescent="0.25"/>
    <row r="5" spans="1:8" ht="21.75" customHeight="1" x14ac:dyDescent="0.25"/>
    <row r="6" spans="1:8" ht="21.75" customHeight="1" x14ac:dyDescent="0.25"/>
    <row r="7" spans="1:8" ht="21.75" customHeight="1" x14ac:dyDescent="0.25"/>
    <row r="8" spans="1:8" ht="21.75" customHeight="1" x14ac:dyDescent="0.3">
      <c r="A8" s="111" t="s">
        <v>1336</v>
      </c>
      <c r="B8" t="s">
        <v>1337</v>
      </c>
      <c r="D8" s="111" t="s">
        <v>1338</v>
      </c>
      <c r="E8" t="s">
        <v>1339</v>
      </c>
    </row>
    <row r="9" spans="1:8" ht="21.75" customHeight="1" x14ac:dyDescent="0.25"/>
    <row r="10" spans="1:8" ht="21.75" customHeight="1" x14ac:dyDescent="0.25"/>
    <row r="11" spans="1:8" ht="21.75" customHeight="1" x14ac:dyDescent="0.25"/>
    <row r="12" spans="1:8" ht="21.75" customHeight="1" x14ac:dyDescent="0.25"/>
    <row r="13" spans="1:8" ht="21.75" customHeight="1" x14ac:dyDescent="0.25"/>
    <row r="14" spans="1:8" ht="21.75" customHeight="1" x14ac:dyDescent="0.25"/>
    <row r="15" spans="1:8" ht="21.75" customHeight="1" x14ac:dyDescent="0.25"/>
    <row r="16" spans="1:8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Dashboard</vt:lpstr>
      <vt:lpstr>Enrollment_Dashboard</vt:lpstr>
      <vt:lpstr>Student_Masterlist</vt:lpstr>
      <vt:lpstr>Student_Data_Instructions</vt:lpstr>
      <vt:lpstr>Student_Import_Log</vt:lpstr>
      <vt:lpstr>Class_Sections</vt:lpstr>
      <vt:lpstr>Teacher_View_Dashboard</vt:lpstr>
      <vt:lpstr>Learner_Scores</vt:lpstr>
      <vt:lpstr>Assessment_Submissions</vt:lpstr>
      <vt:lpstr>View_Only_Sharing_Guide</vt:lpstr>
      <vt:lpstr>Access_Control</vt:lpstr>
      <vt:lpstr>Teacher_Template_Guide</vt:lpstr>
      <vt:lpstr>Power_Automate_Flow</vt:lpstr>
      <vt:lpstr>Form_Mapping_Guide</vt:lpstr>
      <vt:lpstr>File_Link_Test</vt:lpstr>
      <vt:lpstr>SBFP_Dashboard</vt:lpstr>
      <vt:lpstr>SBFP_Beneficiaries</vt:lpstr>
      <vt:lpstr>SBFP_Feeding_Log</vt:lpstr>
      <vt:lpstr>School_Inventory</vt:lpstr>
      <vt:lpstr>Teacher_Submissions</vt:lpstr>
      <vt:lpstr>Students</vt:lpstr>
      <vt:lpstr>Scores</vt:lpstr>
      <vt:lpstr>LIS_Sync_Log</vt:lpstr>
      <vt:lpstr>Settings</vt:lpstr>
      <vt:lpstr>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Jasper Campado</dc:creator>
  <cp:keywords/>
  <dc:description/>
  <cp:lastModifiedBy>Jasper Campado</cp:lastModifiedBy>
  <cp:revision>0</cp:revision>
  <dcterms:created xsi:type="dcterms:W3CDTF">2026-07-27T10:06:48Z</dcterms:created>
  <dcterms:modified xsi:type="dcterms:W3CDTF">2026-07-28T21:34:37Z</dcterms:modified>
  <cp:category/>
  <cp:contentStatus/>
</cp:coreProperties>
</file>